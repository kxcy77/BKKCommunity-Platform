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unctional Test Cases" sheetId="2" state="visible" r:id="rId2"/>
    <sheet xmlns:r="http://schemas.openxmlformats.org/officeDocument/2006/relationships" name="Responsive &amp; Browser" sheetId="3" state="visible" r:id="rId3"/>
    <sheet xmlns:r="http://schemas.openxmlformats.org/officeDocument/2006/relationships" name="Performance Results" sheetId="4" state="visible" r:id="rId4"/>
    <sheet xmlns:r="http://schemas.openxmlformats.org/officeDocument/2006/relationships" name="Security Checklist" sheetId="5" state="visible" r:id="rId5"/>
    <sheet xmlns:r="http://schemas.openxmlformats.org/officeDocument/2006/relationships" name="UAT Task Sheet" sheetId="6" state="visible" r:id="rId6"/>
    <sheet xmlns:r="http://schemas.openxmlformats.org/officeDocument/2006/relationships" name="Defect Log" sheetId="7" state="visible" r:id="rId7"/>
  </sheets>
  <definedNames>
    <definedName name="_xlnm._FilterDatabase" localSheetId="1" hidden="1">'Functional Test Cases'!$A$4:$M$45</definedName>
    <definedName name="_xlnm._FilterDatabase" localSheetId="4" hidden="1">'Security Checklist'!$A$4:$J$24</definedName>
    <definedName name="_xlnm._FilterDatabase" localSheetId="6" hidden="1">'Defect Log'!$A$4:$L$15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F6B78"/>
      <sz val="10"/>
    </font>
    <font>
      <b val="1"/>
      <color rgb="00FFFFFF"/>
    </font>
    <font>
      <b val="1"/>
      <color rgb="001F4E79"/>
      <sz val="14"/>
    </font>
    <font>
      <b val="1"/>
    </font>
    <font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E7D32"/>
        </patternFill>
      </fill>
    </dxf>
    <dxf>
      <font>
        <b val="1"/>
        <color rgb="00FFFFFF"/>
      </font>
      <fill>
        <patternFill patternType="solid">
          <fgColor rgb="00B3261E"/>
        </patternFill>
      </fill>
    </dxf>
    <dxf>
      <font>
        <b val="1"/>
        <color rgb="00FFFFFF"/>
      </font>
      <fill>
        <patternFill patternType="solid">
          <fgColor rgb="00F9A825"/>
        </patternFill>
      </fill>
    </dxf>
    <dxf>
      <font>
        <b val="1"/>
        <color rgb="00FFFFFF"/>
      </font>
      <fill>
        <patternFill patternType="solid">
          <fgColor rgb="005F6B7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Functional test status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'Overview'!$A$17:$A$20</f>
            </numRef>
          </cat>
          <val>
            <numRef>
              <f>'Overview'!$B$17:$B$20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39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16" customWidth="1" min="4" max="4"/>
    <col width="24" customWidth="1" min="5" max="5"/>
    <col width="38" customWidth="1" min="6" max="6"/>
  </cols>
  <sheetData>
    <row r="1" ht="30" customHeight="1">
      <c r="A1" s="11" t="inlineStr">
        <is>
          <t>BKK Community Platform — Test Suite</t>
        </is>
      </c>
    </row>
    <row r="2" ht="32" customHeight="1">
      <c r="A2" s="2" t="inlineStr">
        <is>
          <t>Prepared from the WDP371 Student Guide. Baseline evidence dated 14 August and deployment/remediation evidence dated 20 August 2026 remain separated from tests that still require execution.</t>
        </is>
      </c>
    </row>
    <row r="3"/>
    <row r="4" ht="38" customHeight="1">
      <c r="A4" s="12" t="inlineStr">
        <is>
          <t>Item</t>
        </is>
      </c>
      <c r="B4" s="12" t="inlineStr">
        <is>
          <t>Value</t>
        </is>
      </c>
      <c r="C4" s="12" t="inlineStr">
        <is>
          <t>Verified status</t>
        </is>
      </c>
      <c r="D4" s="12" t="inlineStr">
        <is>
          <t>Evidence date</t>
        </is>
      </c>
      <c r="E4" s="12" t="inlineStr">
        <is>
          <t>Owner</t>
        </is>
      </c>
      <c r="F4" s="12" t="inlineStr">
        <is>
          <t>Evidence reference</t>
        </is>
      </c>
    </row>
    <row r="5" ht="54" customHeight="1">
      <c r="A5" s="4" t="inlineStr">
        <is>
          <t>Live website</t>
        </is>
      </c>
      <c r="B5" s="4" t="inlineStr">
        <is>
          <t>https://www.bkkcommunity.online</t>
        </is>
      </c>
      <c r="C5" s="4" t="inlineStr">
        <is>
          <t>PASS — reachable</t>
        </is>
      </c>
      <c r="D5" s="4" t="inlineStr">
        <is>
          <t>2026-08-20</t>
        </is>
      </c>
      <c r="E5" s="4" t="inlineStr">
        <is>
          <t>Kagiso Mmatloa</t>
        </is>
      </c>
      <c r="F5" s="4" t="inlineStr">
        <is>
          <t>live-verification-2026-08-20.json</t>
        </is>
      </c>
    </row>
    <row r="6" ht="54" customHeight="1">
      <c r="A6" s="5" t="inlineStr">
        <is>
          <t>API health</t>
        </is>
      </c>
      <c r="B6" s="5" t="inlineStr">
        <is>
          <t>/health and /ready</t>
        </is>
      </c>
      <c r="C6" s="5" t="inlineStr">
        <is>
          <t>PASS — 200; database connected</t>
        </is>
      </c>
      <c r="D6" s="5" t="inlineStr">
        <is>
          <t>2026-08-20</t>
        </is>
      </c>
      <c r="E6" s="5" t="inlineStr">
        <is>
          <t>Kagiso Mmatloa</t>
        </is>
      </c>
      <c r="F6" s="5" t="inlineStr">
        <is>
          <t>live-verification-2026-08-20.json</t>
        </is>
      </c>
    </row>
    <row r="7" ht="54" customHeight="1">
      <c r="A7" s="4" t="inlineStr">
        <is>
          <t>Android app</t>
        </is>
      </c>
      <c r="B7" s="4" t="inlineStr">
        <is>
          <t>Kotlin/Compose; minimum API 26</t>
        </is>
      </c>
      <c r="C7" s="4" t="inlineStr">
        <is>
          <t>PASS — build and API 26 device tests</t>
        </is>
      </c>
      <c r="D7" s="4" t="inlineStr">
        <is>
          <t>2026-08-14</t>
        </is>
      </c>
      <c r="E7" s="4" t="inlineStr">
        <is>
          <t>Ipeleng Sithole</t>
        </is>
      </c>
      <c r="F7" s="4" t="inlineStr">
        <is>
          <t>elderly-core-2026-08-14.json</t>
        </is>
      </c>
    </row>
    <row r="8" ht="54" customHeight="1">
      <c r="A8" s="5" t="inlineStr">
        <is>
          <t>iOS companion</t>
        </is>
      </c>
      <c r="B8" s="5" t="inlineStr">
        <is>
          <t>SwiftUI; iOS 16+</t>
        </is>
      </c>
      <c r="C8" s="5" t="inlineStr">
        <is>
          <t>PARTIAL — build/safety passed; full UI journey interrupted</t>
        </is>
      </c>
      <c r="D8" s="5" t="inlineStr">
        <is>
          <t>2026-08-14</t>
        </is>
      </c>
      <c r="E8" s="5" t="inlineStr">
        <is>
          <t>Ipeleng Sithole</t>
        </is>
      </c>
      <c r="F8" s="5" t="inlineStr">
        <is>
          <t>elderly-core-2026-08-14.json</t>
        </is>
      </c>
    </row>
    <row r="9" ht="54" customHeight="1">
      <c r="A9" s="4" t="inlineStr">
        <is>
          <t>Website login gate</t>
        </is>
      </c>
      <c r="B9" s="4" t="inlineStr">
        <is>
          <t>Signed-out users must land on Login</t>
        </is>
      </c>
      <c r="C9" s="4" t="inlineStr">
        <is>
          <t>FAIL — Home and Discounts return 200 signed out</t>
        </is>
      </c>
      <c r="D9" s="4" t="inlineStr">
        <is>
          <t>2026-08-20</t>
        </is>
      </c>
      <c r="E9" s="4" t="inlineStr">
        <is>
          <t>Kagiso Mmatloa</t>
        </is>
      </c>
      <c r="F9" s="4" t="inlineStr">
        <is>
          <t>DEF-001</t>
        </is>
      </c>
    </row>
    <row r="10" ht="45" customHeight="1">
      <c r="A10" s="5" t="inlineStr">
        <is>
          <t>Password reset</t>
        </is>
      </c>
      <c r="B10" s="5" t="inlineStr">
        <is>
          <t>Random six-digit code by email</t>
        </is>
      </c>
      <c r="C10" s="5" t="inlineStr">
        <is>
          <t>PARTIAL — known-account request accepted and active hashed token created; inbox consumption not witnessed</t>
        </is>
      </c>
      <c r="D10" s="5" t="inlineStr">
        <is>
          <t>2026-08-20</t>
        </is>
      </c>
      <c r="E10" s="5" t="inlineStr">
        <is>
          <t>Kagiso Mmatloa</t>
        </is>
      </c>
      <c r="F10" s="5" t="inlineStr">
        <is>
          <t>Live request + DB token state; DEF-002 remains open</t>
        </is>
      </c>
    </row>
    <row r="11" ht="45" customHeight="1">
      <c r="A11" s="4" t="inlineStr">
        <is>
          <t>Security headers</t>
        </is>
      </c>
      <c r="B11" s="4" t="inlineStr">
        <is>
          <t>HSTS, CSP and X-Content-Type-Options</t>
        </is>
      </c>
      <c r="C11" s="4" t="inlineStr">
        <is>
          <t>PASS — CSP, HSTS, nosniff, DENY framing and referrer policy verified</t>
        </is>
      </c>
      <c r="D11" s="4" t="inlineStr">
        <is>
          <t>2026-08-20</t>
        </is>
      </c>
      <c r="E11" s="4" t="inlineStr">
        <is>
          <t>Kagiso Mmatloa</t>
        </is>
      </c>
      <c r="F11" s="4" t="inlineStr">
        <is>
          <t>Post-deployment live header verification; DEF-003 closed</t>
        </is>
      </c>
    </row>
    <row r="12" ht="54" customHeight="1">
      <c r="A12" s="5" t="inlineStr">
        <is>
          <t>Real UAT</t>
        </is>
      </c>
      <c r="B12" s="5" t="inlineStr">
        <is>
          <t>Six BKK participants aged 60+</t>
        </is>
      </c>
      <c r="C12" s="5" t="inlineStr">
        <is>
          <t>NOT RUN</t>
        </is>
      </c>
      <c r="D12" s="5" t="inlineStr">
        <is>
          <t>Not supplied</t>
        </is>
      </c>
      <c r="E12" s="5" t="inlineStr">
        <is>
          <t>Blessing Rugoyi</t>
        </is>
      </c>
      <c r="F12" s="5" t="inlineStr">
        <is>
          <t>UAT Task Sheet</t>
        </is>
      </c>
    </row>
    <row r="13" ht="48" customHeight="1">
      <c r="A13" s="5" t="inlineStr">
        <is>
          <t>Administrator security</t>
        </is>
      </c>
      <c r="B13" s="5" t="inlineStr">
        <is>
          <t>Migration 007, protected role grant, revalidation, timeouts, lifecycle and audit</t>
        </is>
      </c>
      <c r="C13" s="4" t="inlineStr">
        <is>
          <t>PASS — deployed; isolated integration and signed-out route matrix passed</t>
        </is>
      </c>
      <c r="D13" s="5" t="inlineStr">
        <is>
          <t>2026-08-20</t>
        </is>
      </c>
      <c r="E13" s="5" t="inlineStr">
        <is>
          <t>Kagiso Mmatloa</t>
        </is>
      </c>
      <c r="F13" s="5" t="inlineStr">
        <is>
          <t>docs/ADMIN_AUDIT_2026-08-20.md</t>
        </is>
      </c>
    </row>
    <row r="14" ht="48" customHeight="1">
      <c r="A14" s="5" t="inlineStr">
        <is>
          <t>Production backup</t>
        </is>
      </c>
      <c r="B14" s="5" t="inlineStr">
        <is>
          <t>Protected MySQL backup and isolated restore verification</t>
        </is>
      </c>
      <c r="C14" s="4" t="inlineStr">
        <is>
          <t>PASS — 15 tables and migration 007 restored; temporary database removed</t>
        </is>
      </c>
      <c r="D14" s="5" t="inlineStr">
        <is>
          <t>2026-08-20</t>
        </is>
      </c>
      <c r="E14" s="5" t="inlineStr">
        <is>
          <t>Kagiso Mmatloa</t>
        </is>
      </c>
      <c r="F14" s="5" t="inlineStr">
        <is>
          <t>Protected operational record; backup excluded from GitHub</t>
        </is>
      </c>
    </row>
    <row r="15">
      <c r="A15" s="13" t="inlineStr">
        <is>
          <t>Functional execution summary</t>
        </is>
      </c>
    </row>
    <row r="16">
      <c r="A16" s="14" t="inlineStr">
        <is>
          <t>Total cases</t>
        </is>
      </c>
      <c r="B16" s="4">
        <f>COUNTA('Functional Test Cases'!A5:A200)</f>
        <v/>
      </c>
    </row>
    <row r="17">
      <c r="A17" s="14" t="inlineStr">
        <is>
          <t>PASS</t>
        </is>
      </c>
      <c r="B17" s="4">
        <f>COUNTIF('Functional Test Cases'!I5:I200,"PASS")</f>
        <v/>
      </c>
    </row>
    <row r="18">
      <c r="A18" s="14" t="inlineStr">
        <is>
          <t>FAIL</t>
        </is>
      </c>
      <c r="B18" s="4">
        <f>COUNTIF('Functional Test Cases'!I5:I200,"FAIL")</f>
        <v/>
      </c>
    </row>
    <row r="19">
      <c r="A19" s="14" t="inlineStr">
        <is>
          <t>BLOCKED</t>
        </is>
      </c>
      <c r="B19" s="4">
        <f>COUNTIF('Functional Test Cases'!I5:I200,"BLOCKED")</f>
        <v/>
      </c>
    </row>
    <row r="20">
      <c r="A20" s="14" t="inlineStr">
        <is>
          <t>NOT RUN</t>
        </is>
      </c>
      <c r="B20" s="4">
        <f>COUNTIF('Functional Test Cases'!I5:I200,"NOT RUN")</f>
        <v/>
      </c>
    </row>
    <row r="21">
      <c r="A21" s="14" t="inlineStr">
        <is>
          <t>Pass rate</t>
        </is>
      </c>
      <c r="B21" s="15">
        <f>IF(B16=0,0,B17/B16)</f>
        <v/>
      </c>
    </row>
  </sheetData>
  <mergeCells count="2">
    <mergeCell ref="A2:F2"/>
    <mergeCell ref="A1:F1"/>
  </mergeCells>
  <printOptions horizontalCentered="1"/>
  <pageMargins left="0.25" right="0.25" top="0.45" bottom="0.45" header="0.15" footer="0.15"/>
  <pageSetup orientation="landscape" paperSize="9" fitToHeight="0" fitToWidth="1"/>
  <headerFooter>
    <oddHeader>&amp;C&amp;8 BKK Community Platform — WDP371 Phase 3 &amp; 4</oddHeader>
    <oddFooter>&amp;C&amp;8 BKK Community Platform | Test evidence |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34" customWidth="1" min="4" max="4"/>
    <col width="30" customWidth="1" min="5" max="5"/>
    <col width="45" customWidth="1" min="6" max="6"/>
    <col width="39" customWidth="1" min="7" max="7"/>
    <col width="37" customWidth="1" min="8" max="8"/>
    <col width="13" customWidth="1" min="9" max="9"/>
    <col width="12" customWidth="1" min="10" max="10"/>
    <col width="22" customWidth="1" min="11" max="11"/>
    <col width="14" customWidth="1" min="12" max="12"/>
    <col width="28" customWidth="1" min="13" max="13"/>
  </cols>
  <sheetData>
    <row r="1" ht="30" customHeight="1">
      <c r="A1" s="11" t="inlineStr">
        <is>
          <t>Functional Test Cases</t>
        </is>
      </c>
    </row>
    <row r="2" ht="32" customHeight="1">
      <c r="A2" s="2" t="inlineStr">
        <is>
          <t>Baseline automated/live evidence is retained. Post-remediation results are dated separately; remaining manual cases must not be marked PASS without evidence.</t>
        </is>
      </c>
    </row>
    <row r="3"/>
    <row r="4" ht="38" customHeight="1">
      <c r="A4" s="12" t="inlineStr">
        <is>
          <t>Test ID</t>
        </is>
      </c>
      <c r="B4" s="12" t="inlineStr">
        <is>
          <t>Requirement ref</t>
        </is>
      </c>
      <c r="C4" s="12" t="inlineStr">
        <is>
          <t>Category</t>
        </is>
      </c>
      <c r="D4" s="12" t="inlineStr">
        <is>
          <t>Test description</t>
        </is>
      </c>
      <c r="E4" s="12" t="inlineStr">
        <is>
          <t>Preconditions</t>
        </is>
      </c>
      <c r="F4" s="12" t="inlineStr">
        <is>
          <t>Test steps</t>
        </is>
      </c>
      <c r="G4" s="12" t="inlineStr">
        <is>
          <t>Expected result</t>
        </is>
      </c>
      <c r="H4" s="12" t="inlineStr">
        <is>
          <t>Actual result</t>
        </is>
      </c>
      <c r="I4" s="12" t="inlineStr">
        <is>
          <t>Status</t>
        </is>
      </c>
      <c r="J4" s="12" t="inlineStr">
        <is>
          <t>Defect ID</t>
        </is>
      </c>
      <c r="K4" s="12" t="inlineStr">
        <is>
          <t>Tested by</t>
        </is>
      </c>
      <c r="L4" s="12" t="inlineStr">
        <is>
          <t>Test date</t>
        </is>
      </c>
      <c r="M4" s="12" t="inlineStr">
        <is>
          <t>Evidence</t>
        </is>
      </c>
    </row>
    <row r="5" ht="54" customHeight="1">
      <c r="A5" s="4" t="inlineStr">
        <is>
          <t>FT-001</t>
        </is>
      </c>
      <c r="B5" s="4" t="inlineStr">
        <is>
          <t>FR6/NFR2</t>
        </is>
      </c>
      <c r="C5" s="4" t="inlineStr">
        <is>
          <t>Website</t>
        </is>
      </c>
      <c r="D5" s="4" t="inlineStr">
        <is>
          <t>Open live Home page</t>
        </is>
      </c>
      <c r="E5" s="4" t="inlineStr">
        <is>
          <t>Internet access</t>
        </is>
      </c>
      <c r="F5" s="4" t="inlineStr">
        <is>
          <t>1. Browse to live URL. 2. Wait for response.</t>
        </is>
      </c>
      <c r="G5" s="4" t="inlineStr">
        <is>
          <t>Page loads over HTTPS without server error.</t>
        </is>
      </c>
      <c r="H5" s="4" t="inlineStr">
        <is>
          <t>HTTP 200.</t>
        </is>
      </c>
      <c r="I5" s="4" t="inlineStr">
        <is>
          <t>PASS</t>
        </is>
      </c>
      <c r="J5" s="4" t="inlineStr"/>
      <c r="K5" s="4" t="inlineStr">
        <is>
          <t>Codex verification</t>
        </is>
      </c>
      <c r="L5" s="4" t="inlineStr">
        <is>
          <t>2026-08-20</t>
        </is>
      </c>
      <c r="M5" s="4" t="inlineStr">
        <is>
          <t>live JSON</t>
        </is>
      </c>
    </row>
    <row r="6" ht="54" customHeight="1">
      <c r="A6" s="5" t="inlineStr">
        <is>
          <t>FT-002</t>
        </is>
      </c>
      <c r="B6" s="5" t="inlineStr">
        <is>
          <t>Auth policy</t>
        </is>
      </c>
      <c r="C6" s="5" t="inlineStr">
        <is>
          <t>Security</t>
        </is>
      </c>
      <c r="D6" s="5" t="inlineStr">
        <is>
          <t>Signed-out Home redirects to Login</t>
        </is>
      </c>
      <c r="E6" s="5" t="inlineStr">
        <is>
          <t>No session cookie</t>
        </is>
      </c>
      <c r="F6" s="5" t="inlineStr">
        <is>
          <t>1. Clear cookies. 2. Open /.</t>
        </is>
      </c>
      <c r="G6" s="5" t="inlineStr">
        <is>
          <t>302/303 redirect to login.php.</t>
        </is>
      </c>
      <c r="H6" s="5" t="inlineStr">
        <is>
          <t>HTTP 200 Home content visible.</t>
        </is>
      </c>
      <c r="I6" s="5" t="inlineStr">
        <is>
          <t>FAIL</t>
        </is>
      </c>
      <c r="J6" s="5" t="inlineStr">
        <is>
          <t>DEF-001</t>
        </is>
      </c>
      <c r="K6" s="5" t="inlineStr">
        <is>
          <t>Codex verification</t>
        </is>
      </c>
      <c r="L6" s="5" t="inlineStr">
        <is>
          <t>2026-08-20</t>
        </is>
      </c>
      <c r="M6" s="5" t="inlineStr">
        <is>
          <t>live JSON</t>
        </is>
      </c>
    </row>
    <row r="7" ht="54" customHeight="1">
      <c r="A7" s="4" t="inlineStr">
        <is>
          <t>FT-003</t>
        </is>
      </c>
      <c r="B7" s="4" t="inlineStr">
        <is>
          <t>Auth policy</t>
        </is>
      </c>
      <c r="C7" s="4" t="inlineStr">
        <is>
          <t>Security</t>
        </is>
      </c>
      <c r="D7" s="4" t="inlineStr">
        <is>
          <t>Signed-out Discounts redirects to Login</t>
        </is>
      </c>
      <c r="E7" s="4" t="inlineStr">
        <is>
          <t>No session cookie</t>
        </is>
      </c>
      <c r="F7" s="4" t="inlineStr">
        <is>
          <t>1. Clear cookies. 2. Open /discounts.php.</t>
        </is>
      </c>
      <c r="G7" s="4" t="inlineStr">
        <is>
          <t>Redirect to Login.</t>
        </is>
      </c>
      <c r="H7" s="4" t="inlineStr">
        <is>
          <t>HTTP 200 Discounts content visible.</t>
        </is>
      </c>
      <c r="I7" s="4" t="inlineStr">
        <is>
          <t>FAIL</t>
        </is>
      </c>
      <c r="J7" s="4" t="inlineStr">
        <is>
          <t>DEF-001</t>
        </is>
      </c>
      <c r="K7" s="4" t="inlineStr">
        <is>
          <t>Codex verification</t>
        </is>
      </c>
      <c r="L7" s="4" t="inlineStr">
        <is>
          <t>2026-08-20</t>
        </is>
      </c>
      <c r="M7" s="4" t="inlineStr">
        <is>
          <t>live JSON</t>
        </is>
      </c>
    </row>
    <row r="8" ht="54" customHeight="1">
      <c r="A8" s="5" t="inlineStr">
        <is>
          <t>FT-004</t>
        </is>
      </c>
      <c r="B8" s="5" t="inlineStr">
        <is>
          <t>API availability</t>
        </is>
      </c>
      <c r="C8" s="5" t="inlineStr">
        <is>
          <t>API</t>
        </is>
      </c>
      <c r="D8" s="5" t="inlineStr">
        <is>
          <t>Health endpoint</t>
        </is>
      </c>
      <c r="E8" s="5" t="inlineStr">
        <is>
          <t>Live deployment</t>
        </is>
      </c>
      <c r="F8" s="5" t="inlineStr">
        <is>
          <t>GET /health.</t>
        </is>
      </c>
      <c r="G8" s="5" t="inlineStr">
        <is>
          <t>200 and status=ok.</t>
        </is>
      </c>
      <c r="H8" s="5" t="inlineStr">
        <is>
          <t>200 and status=ok.</t>
        </is>
      </c>
      <c r="I8" s="5" t="inlineStr">
        <is>
          <t>PASS</t>
        </is>
      </c>
      <c r="J8" s="5" t="inlineStr"/>
      <c r="K8" s="5" t="inlineStr">
        <is>
          <t>Codex verification</t>
        </is>
      </c>
      <c r="L8" s="5" t="inlineStr">
        <is>
          <t>2026-08-20</t>
        </is>
      </c>
      <c r="M8" s="5" t="inlineStr">
        <is>
          <t>live JSON</t>
        </is>
      </c>
    </row>
    <row r="9" ht="54" customHeight="1">
      <c r="A9" s="4" t="inlineStr">
        <is>
          <t>FT-005</t>
        </is>
      </c>
      <c r="B9" s="4" t="inlineStr">
        <is>
          <t>API availability</t>
        </is>
      </c>
      <c r="C9" s="4" t="inlineStr">
        <is>
          <t>API</t>
        </is>
      </c>
      <c r="D9" s="4" t="inlineStr">
        <is>
          <t>Readiness and database connection</t>
        </is>
      </c>
      <c r="E9" s="4" t="inlineStr">
        <is>
          <t>Live deployment</t>
        </is>
      </c>
      <c r="F9" s="4" t="inlineStr">
        <is>
          <t>GET /ready.</t>
        </is>
      </c>
      <c r="G9" s="4" t="inlineStr">
        <is>
          <t>200, ready, database connected.</t>
        </is>
      </c>
      <c r="H9" s="4" t="inlineStr">
        <is>
          <t>200, ready, database connected.</t>
        </is>
      </c>
      <c r="I9" s="4" t="inlineStr">
        <is>
          <t>PASS</t>
        </is>
      </c>
      <c r="J9" s="4" t="inlineStr"/>
      <c r="K9" s="4" t="inlineStr">
        <is>
          <t>Codex verification</t>
        </is>
      </c>
      <c r="L9" s="4" t="inlineStr">
        <is>
          <t>2026-08-20</t>
        </is>
      </c>
      <c r="M9" s="4" t="inlineStr">
        <is>
          <t>live JSON</t>
        </is>
      </c>
    </row>
    <row r="10" ht="54" customHeight="1">
      <c r="A10" s="5" t="inlineStr">
        <is>
          <t>FT-006</t>
        </is>
      </c>
      <c r="B10" s="5" t="inlineStr">
        <is>
          <t>FR1</t>
        </is>
      </c>
      <c r="C10" s="5" t="inlineStr">
        <is>
          <t>API</t>
        </is>
      </c>
      <c r="D10" s="5" t="inlineStr">
        <is>
          <t>List published events</t>
        </is>
      </c>
      <c r="E10" s="5" t="inlineStr">
        <is>
          <t>Live database</t>
        </is>
      </c>
      <c r="F10" s="5" t="inlineStr">
        <is>
          <t>GET /api/v1/events.</t>
        </is>
      </c>
      <c r="G10" s="5" t="inlineStr">
        <is>
          <t>200 and array of events.</t>
        </is>
      </c>
      <c r="H10" s="5" t="inlineStr">
        <is>
          <t>200; labelled demonstration event returned.</t>
        </is>
      </c>
      <c r="I10" s="5" t="inlineStr">
        <is>
          <t>PASS</t>
        </is>
      </c>
      <c r="J10" s="5" t="inlineStr"/>
      <c r="K10" s="5" t="inlineStr">
        <is>
          <t>Codex verification</t>
        </is>
      </c>
      <c r="L10" s="5" t="inlineStr">
        <is>
          <t>2026-08-20</t>
        </is>
      </c>
      <c r="M10" s="5" t="inlineStr">
        <is>
          <t>live JSON</t>
        </is>
      </c>
    </row>
    <row r="11" ht="54" customHeight="1">
      <c r="A11" s="4" t="inlineStr">
        <is>
          <t>FT-007</t>
        </is>
      </c>
      <c r="B11" s="4" t="inlineStr">
        <is>
          <t>FR3</t>
        </is>
      </c>
      <c r="C11" s="4" t="inlineStr">
        <is>
          <t>API</t>
        </is>
      </c>
      <c r="D11" s="4" t="inlineStr">
        <is>
          <t>List active discounts</t>
        </is>
      </c>
      <c r="E11" s="4" t="inlineStr">
        <is>
          <t>Live database</t>
        </is>
      </c>
      <c r="F11" s="4" t="inlineStr">
        <is>
          <t>GET /api/v1/discounts.</t>
        </is>
      </c>
      <c r="G11" s="4" t="inlineStr">
        <is>
          <t>200 and discount data.</t>
        </is>
      </c>
      <c r="H11" s="4" t="inlineStr">
        <is>
          <t>200; three discount records returned.</t>
        </is>
      </c>
      <c r="I11" s="4" t="inlineStr">
        <is>
          <t>PASS</t>
        </is>
      </c>
      <c r="J11" s="4" t="inlineStr"/>
      <c r="K11" s="4" t="inlineStr">
        <is>
          <t>Codex verification</t>
        </is>
      </c>
      <c r="L11" s="4" t="inlineStr">
        <is>
          <t>2026-08-20</t>
        </is>
      </c>
      <c r="M11" s="4" t="inlineStr">
        <is>
          <t>live JSON</t>
        </is>
      </c>
    </row>
    <row r="12" ht="54" customHeight="1">
      <c r="A12" s="5" t="inlineStr">
        <is>
          <t>FT-008</t>
        </is>
      </c>
      <c r="B12" s="5" t="inlineStr">
        <is>
          <t>FR4</t>
        </is>
      </c>
      <c r="C12" s="5" t="inlineStr">
        <is>
          <t>API</t>
        </is>
      </c>
      <c r="D12" s="5" t="inlineStr">
        <is>
          <t>List local services</t>
        </is>
      </c>
      <c r="E12" s="5" t="inlineStr">
        <is>
          <t>Live database</t>
        </is>
      </c>
      <c r="F12" s="5" t="inlineStr">
        <is>
          <t>GET /api/v1/local-services.</t>
        </is>
      </c>
      <c r="G12" s="5" t="inlineStr">
        <is>
          <t>200 and service data.</t>
        </is>
      </c>
      <c r="H12" s="5" t="inlineStr">
        <is>
          <t>200; three service records returned.</t>
        </is>
      </c>
      <c r="I12" s="5" t="inlineStr">
        <is>
          <t>PASS</t>
        </is>
      </c>
      <c r="J12" s="5" t="inlineStr"/>
      <c r="K12" s="5" t="inlineStr">
        <is>
          <t>Codex verification</t>
        </is>
      </c>
      <c r="L12" s="5" t="inlineStr">
        <is>
          <t>2026-08-20</t>
        </is>
      </c>
      <c r="M12" s="5" t="inlineStr">
        <is>
          <t>live JSON</t>
        </is>
      </c>
    </row>
    <row r="13" ht="54" customHeight="1">
      <c r="A13" s="4" t="inlineStr">
        <is>
          <t>FT-009</t>
        </is>
      </c>
      <c r="B13" s="4" t="inlineStr">
        <is>
          <t>Authentication</t>
        </is>
      </c>
      <c r="C13" s="4" t="inlineStr">
        <is>
          <t>API</t>
        </is>
      </c>
      <c r="D13" s="4" t="inlineStr">
        <is>
          <t>Register a new member</t>
        </is>
      </c>
      <c r="E13" s="4" t="inlineStr">
        <is>
          <t>Unused disposable email</t>
        </is>
      </c>
      <c r="F13" s="4" t="inlineStr">
        <is>
          <t>POST valid name, email and password.</t>
        </is>
      </c>
      <c r="G13" s="4" t="inlineStr">
        <is>
          <t>201; member token issued.</t>
        </is>
      </c>
      <c r="H13" s="4" t="inlineStr">
        <is>
          <t>201 during live lifecycle; account later deleted.</t>
        </is>
      </c>
      <c r="I13" s="4" t="inlineStr">
        <is>
          <t>PASS</t>
        </is>
      </c>
      <c r="J13" s="4" t="inlineStr"/>
      <c r="K13" s="4" t="inlineStr">
        <is>
          <t>Codex verification</t>
        </is>
      </c>
      <c r="L13" s="4" t="inlineStr">
        <is>
          <t>2026-08-20</t>
        </is>
      </c>
      <c r="M13" s="4" t="inlineStr">
        <is>
          <t>live run notes</t>
        </is>
      </c>
    </row>
    <row r="14" ht="54" customHeight="1">
      <c r="A14" s="5" t="inlineStr">
        <is>
          <t>FT-010</t>
        </is>
      </c>
      <c r="B14" s="5" t="inlineStr">
        <is>
          <t>Authentication</t>
        </is>
      </c>
      <c r="C14" s="5" t="inlineStr">
        <is>
          <t>API</t>
        </is>
      </c>
      <c r="D14" s="5" t="inlineStr">
        <is>
          <t>Reject duplicate email</t>
        </is>
      </c>
      <c r="E14" s="5" t="inlineStr">
        <is>
          <t>Existing disposable account</t>
        </is>
      </c>
      <c r="F14" s="5" t="inlineStr">
        <is>
          <t>POST same registration again.</t>
        </is>
      </c>
      <c r="G14" s="5" t="inlineStr">
        <is>
          <t>409 conflict; no duplicate row.</t>
        </is>
      </c>
      <c r="H14" s="5" t="inlineStr">
        <is>
          <t>409 returned.</t>
        </is>
      </c>
      <c r="I14" s="5" t="inlineStr">
        <is>
          <t>PASS</t>
        </is>
      </c>
      <c r="J14" s="5" t="inlineStr"/>
      <c r="K14" s="5" t="inlineStr">
        <is>
          <t>Codex verification</t>
        </is>
      </c>
      <c r="L14" s="5" t="inlineStr">
        <is>
          <t>2026-08-20</t>
        </is>
      </c>
      <c r="M14" s="5" t="inlineStr">
        <is>
          <t>live JSON</t>
        </is>
      </c>
    </row>
    <row r="15" ht="54" customHeight="1">
      <c r="A15" s="4" t="inlineStr">
        <is>
          <t>FT-011</t>
        </is>
      </c>
      <c r="B15" s="4" t="inlineStr">
        <is>
          <t>Authentication</t>
        </is>
      </c>
      <c r="C15" s="4" t="inlineStr">
        <is>
          <t>API</t>
        </is>
      </c>
      <c r="D15" s="4" t="inlineStr">
        <is>
          <t>Reject wrong password</t>
        </is>
      </c>
      <c r="E15" s="4" t="inlineStr">
        <is>
          <t>Existing account</t>
        </is>
      </c>
      <c r="F15" s="4" t="inlineStr">
        <is>
          <t>POST login with wrong password.</t>
        </is>
      </c>
      <c r="G15" s="4" t="inlineStr">
        <is>
          <t>401 without token.</t>
        </is>
      </c>
      <c r="H15" s="4" t="inlineStr">
        <is>
          <t>401 returned.</t>
        </is>
      </c>
      <c r="I15" s="4" t="inlineStr">
        <is>
          <t>PASS</t>
        </is>
      </c>
      <c r="J15" s="4" t="inlineStr"/>
      <c r="K15" s="4" t="inlineStr">
        <is>
          <t>Codex verification</t>
        </is>
      </c>
      <c r="L15" s="4" t="inlineStr">
        <is>
          <t>2026-08-20</t>
        </is>
      </c>
      <c r="M15" s="4" t="inlineStr">
        <is>
          <t>live JSON</t>
        </is>
      </c>
    </row>
    <row r="16" ht="54" customHeight="1">
      <c r="A16" s="5" t="inlineStr">
        <is>
          <t>FT-012</t>
        </is>
      </c>
      <c r="B16" s="5" t="inlineStr">
        <is>
          <t>Profile</t>
        </is>
      </c>
      <c r="C16" s="5" t="inlineStr">
        <is>
          <t>API</t>
        </is>
      </c>
      <c r="D16" s="5" t="inlineStr">
        <is>
          <t>Read authenticated profile</t>
        </is>
      </c>
      <c r="E16" s="5" t="inlineStr">
        <is>
          <t>Valid bearer token</t>
        </is>
      </c>
      <c r="F16" s="5" t="inlineStr">
        <is>
          <t>GET /api/v1/me.</t>
        </is>
      </c>
      <c r="G16" s="5" t="inlineStr">
        <is>
          <t>200 and current member data.</t>
        </is>
      </c>
      <c r="H16" s="5" t="inlineStr">
        <is>
          <t>200 returned correct disposable profile.</t>
        </is>
      </c>
      <c r="I16" s="5" t="inlineStr">
        <is>
          <t>PASS</t>
        </is>
      </c>
      <c r="J16" s="5" t="inlineStr"/>
      <c r="K16" s="5" t="inlineStr">
        <is>
          <t>Codex verification</t>
        </is>
      </c>
      <c r="L16" s="5" t="inlineStr">
        <is>
          <t>2026-08-20</t>
        </is>
      </c>
      <c r="M16" s="5" t="inlineStr">
        <is>
          <t>live JSON</t>
        </is>
      </c>
    </row>
    <row r="17" ht="54" customHeight="1">
      <c r="A17" s="4" t="inlineStr">
        <is>
          <t>FT-013</t>
        </is>
      </c>
      <c r="B17" s="4" t="inlineStr">
        <is>
          <t>Account deletion</t>
        </is>
      </c>
      <c r="C17" s="4" t="inlineStr">
        <is>
          <t>API</t>
        </is>
      </c>
      <c r="D17" s="4" t="inlineStr">
        <is>
          <t>Delete member account</t>
        </is>
      </c>
      <c r="E17" s="4" t="inlineStr">
        <is>
          <t>Valid disposable account</t>
        </is>
      </c>
      <c r="F17" s="4" t="inlineStr">
        <is>
          <t>DELETE /api/v1/me.</t>
        </is>
      </c>
      <c r="G17" s="4" t="inlineStr">
        <is>
          <t>200 and account removed.</t>
        </is>
      </c>
      <c r="H17" s="4" t="inlineStr">
        <is>
          <t>200 deleted=true.</t>
        </is>
      </c>
      <c r="I17" s="4" t="inlineStr">
        <is>
          <t>PASS</t>
        </is>
      </c>
      <c r="J17" s="4" t="inlineStr"/>
      <c r="K17" s="4" t="inlineStr">
        <is>
          <t>Codex verification</t>
        </is>
      </c>
      <c r="L17" s="4" t="inlineStr">
        <is>
          <t>2026-08-20</t>
        </is>
      </c>
      <c r="M17" s="4" t="inlineStr">
        <is>
          <t>live JSON</t>
        </is>
      </c>
    </row>
    <row r="18" ht="54" customHeight="1">
      <c r="A18" s="5" t="inlineStr">
        <is>
          <t>FT-014</t>
        </is>
      </c>
      <c r="B18" s="5" t="inlineStr">
        <is>
          <t>Authentication</t>
        </is>
      </c>
      <c r="C18" s="5" t="inlineStr">
        <is>
          <t>Website</t>
        </is>
      </c>
      <c r="D18" s="5" t="inlineStr">
        <is>
          <t>Member sign-in</t>
        </is>
      </c>
      <c r="E18" s="5" t="inlineStr">
        <is>
          <t>Configured test account</t>
        </is>
      </c>
      <c r="F18" s="5" t="inlineStr">
        <is>
          <t>Enter valid email/password and submit.</t>
        </is>
      </c>
      <c r="G18" s="5" t="inlineStr">
        <is>
          <t>Profile/Home displayed.</t>
        </is>
      </c>
      <c r="H18" s="5" t="inlineStr">
        <is>
          <t>Passed in core journey.</t>
        </is>
      </c>
      <c r="I18" s="5" t="inlineStr">
        <is>
          <t>PASS</t>
        </is>
      </c>
      <c r="J18" s="5" t="inlineStr"/>
      <c r="K18" s="5" t="inlineStr">
        <is>
          <t>Team automated journey</t>
        </is>
      </c>
      <c r="L18" s="5" t="inlineStr">
        <is>
          <t>2026-08-14</t>
        </is>
      </c>
      <c r="M18" s="5" t="inlineStr">
        <is>
          <t>elderly-core JSON</t>
        </is>
      </c>
    </row>
    <row r="19" ht="54" customHeight="1">
      <c r="A19" s="4" t="inlineStr">
        <is>
          <t>FT-015</t>
        </is>
      </c>
      <c r="B19" s="4" t="inlineStr">
        <is>
          <t>FR12/NFR5</t>
        </is>
      </c>
      <c r="C19" s="4" t="inlineStr">
        <is>
          <t>Website</t>
        </is>
      </c>
      <c r="D19" s="4" t="inlineStr">
        <is>
          <t>Navigation and scrolling at 200% browser zoom</t>
        </is>
      </c>
      <c r="E19" s="4" t="inlineStr">
        <is>
          <t>Chrome</t>
        </is>
      </c>
      <c r="F19" s="4" t="inlineStr">
        <is>
          <t>Set zoom 200%; visit primary pages; scroll.</t>
        </is>
      </c>
      <c r="G19" s="4" t="inlineStr">
        <is>
          <t>Content remains reachable and primary links usable.</t>
        </is>
      </c>
      <c r="H19" s="4" t="inlineStr">
        <is>
          <t>Passed in Chrome mobile viewport journey.</t>
        </is>
      </c>
      <c r="I19" s="4" t="inlineStr">
        <is>
          <t>PASS</t>
        </is>
      </c>
      <c r="J19" s="4" t="inlineStr"/>
      <c r="K19" s="4" t="inlineStr">
        <is>
          <t>Team automated journey</t>
        </is>
      </c>
      <c r="L19" s="4" t="inlineStr">
        <is>
          <t>2026-08-14</t>
        </is>
      </c>
      <c r="M19" s="4" t="inlineStr">
        <is>
          <t>elderly-core JSON</t>
        </is>
      </c>
    </row>
    <row r="20" ht="54" customHeight="1">
      <c r="A20" s="5" t="inlineStr">
        <is>
          <t>FT-016</t>
        </is>
      </c>
      <c r="B20" s="5" t="inlineStr">
        <is>
          <t>NFR6</t>
        </is>
      </c>
      <c r="C20" s="5" t="inlineStr">
        <is>
          <t>Android</t>
        </is>
      </c>
      <c r="D20" s="5" t="inlineStr">
        <is>
          <t>Build and unit tests</t>
        </is>
      </c>
      <c r="E20" s="5" t="inlineStr">
        <is>
          <t>Android project/JDK</t>
        </is>
      </c>
      <c r="F20" s="5" t="inlineStr">
        <is>
          <t>Run debug build and unit tests.</t>
        </is>
      </c>
      <c r="G20" s="5" t="inlineStr">
        <is>
          <t>Build succeeds; zero unit failures.</t>
        </is>
      </c>
      <c r="H20" s="5" t="inlineStr">
        <is>
          <t>Build passed; 6 unit tests passed.</t>
        </is>
      </c>
      <c r="I20" s="5" t="inlineStr">
        <is>
          <t>PASS</t>
        </is>
      </c>
      <c r="J20" s="5" t="inlineStr"/>
      <c r="K20" s="5" t="inlineStr">
        <is>
          <t>Team automated journey</t>
        </is>
      </c>
      <c r="L20" s="5" t="inlineStr">
        <is>
          <t>2026-08-14</t>
        </is>
      </c>
      <c r="M20" s="5" t="inlineStr">
        <is>
          <t>elderly-core JSON</t>
        </is>
      </c>
    </row>
    <row r="21" ht="54" customHeight="1">
      <c r="A21" s="4" t="inlineStr">
        <is>
          <t>FT-017</t>
        </is>
      </c>
      <c r="B21" s="4" t="inlineStr">
        <is>
          <t>FR9/NFR6</t>
        </is>
      </c>
      <c r="C21" s="4" t="inlineStr">
        <is>
          <t>Android</t>
        </is>
      </c>
      <c r="D21" s="4" t="inlineStr">
        <is>
          <t>API 26 connected UI journey</t>
        </is>
      </c>
      <c r="E21" s="4" t="inlineStr">
        <is>
          <t>API 26 emulator</t>
        </is>
      </c>
      <c r="F21" s="4" t="inlineStr">
        <is>
          <t>Run connected device tests.</t>
        </is>
      </c>
      <c r="G21" s="4" t="inlineStr">
        <is>
          <t>Login gate, recovery, registration, home, scrolling, schedule and safety pass.</t>
        </is>
      </c>
      <c r="H21" s="4" t="inlineStr">
        <is>
          <t>6 device tests passed.</t>
        </is>
      </c>
      <c r="I21" s="4" t="inlineStr">
        <is>
          <t>PASS</t>
        </is>
      </c>
      <c r="J21" s="4" t="inlineStr"/>
      <c r="K21" s="4" t="inlineStr">
        <is>
          <t>Team automated journey</t>
        </is>
      </c>
      <c r="L21" s="4" t="inlineStr">
        <is>
          <t>2026-08-14</t>
        </is>
      </c>
      <c r="M21" s="4" t="inlineStr">
        <is>
          <t>elderly-core JSON</t>
        </is>
      </c>
    </row>
    <row r="22" ht="54" customHeight="1">
      <c r="A22" s="5" t="inlineStr">
        <is>
          <t>FT-018</t>
        </is>
      </c>
      <c r="B22" s="5" t="inlineStr">
        <is>
          <t>NFR5</t>
        </is>
      </c>
      <c r="C22" s="5" t="inlineStr">
        <is>
          <t>Android</t>
        </is>
      </c>
      <c r="D22" s="5" t="inlineStr">
        <is>
          <t>Trackpad/mouse scrolling on Login</t>
        </is>
      </c>
      <c r="E22" s="5" t="inlineStr">
        <is>
          <t>API 26 emulator</t>
        </is>
      </c>
      <c r="F22" s="5" t="inlineStr">
        <is>
          <t>Scroll from fields to buttons.</t>
        </is>
      </c>
      <c r="G22" s="5" t="inlineStr">
        <is>
          <t>All controls reachable.</t>
        </is>
      </c>
      <c r="H22" s="5" t="inlineStr">
        <is>
          <t>Passed.</t>
        </is>
      </c>
      <c r="I22" s="5" t="inlineStr">
        <is>
          <t>PASS</t>
        </is>
      </c>
      <c r="J22" s="5" t="inlineStr"/>
      <c r="K22" s="5" t="inlineStr">
        <is>
          <t>Team automated journey</t>
        </is>
      </c>
      <c r="L22" s="5" t="inlineStr">
        <is>
          <t>2026-08-14</t>
        </is>
      </c>
      <c r="M22" s="5" t="inlineStr">
        <is>
          <t>elderly-core JSON</t>
        </is>
      </c>
    </row>
    <row r="23" ht="54" customHeight="1">
      <c r="A23" s="4" t="inlineStr">
        <is>
          <t>FT-019</t>
        </is>
      </c>
      <c r="B23" s="4" t="inlineStr">
        <is>
          <t>Auth policy</t>
        </is>
      </c>
      <c r="C23" s="4" t="inlineStr">
        <is>
          <t>Android</t>
        </is>
      </c>
      <c r="D23" s="4" t="inlineStr">
        <is>
          <t>Logout returns to Login</t>
        </is>
      </c>
      <c r="E23" s="4" t="inlineStr">
        <is>
          <t>Signed-in account</t>
        </is>
      </c>
      <c r="F23" s="4" t="inlineStr">
        <is>
          <t>Open Me; tap Sign out.</t>
        </is>
      </c>
      <c r="G23" s="4" t="inlineStr">
        <is>
          <t>Login screen displayed and token cleared.</t>
        </is>
      </c>
      <c r="H23" s="4" t="inlineStr">
        <is>
          <t>Login screen displayed in current live-connected build.</t>
        </is>
      </c>
      <c r="I23" s="4" t="inlineStr">
        <is>
          <t>PASS</t>
        </is>
      </c>
      <c r="J23" s="4" t="inlineStr"/>
      <c r="K23" s="4" t="inlineStr">
        <is>
          <t>Codex emulator verification</t>
        </is>
      </c>
      <c r="L23" s="4" t="inlineStr">
        <is>
          <t>2026-08-20</t>
        </is>
      </c>
      <c r="M23" s="4" t="inlineStr">
        <is>
          <t>android-logout-result.png</t>
        </is>
      </c>
    </row>
    <row r="24" ht="54" customHeight="1">
      <c r="A24" s="5" t="inlineStr">
        <is>
          <t>FT-020</t>
        </is>
      </c>
      <c r="B24" s="5" t="inlineStr">
        <is>
          <t>Password reset</t>
        </is>
      </c>
      <c r="C24" s="5" t="inlineStr">
        <is>
          <t>API</t>
        </is>
      </c>
      <c r="D24" s="5" t="inlineStr">
        <is>
          <t>Unknown-email reset response does not enumerate account</t>
        </is>
      </c>
      <c r="E24" s="5" t="inlineStr">
        <is>
          <t>Live service</t>
        </is>
      </c>
      <c r="F24" s="5" t="inlineStr">
        <is>
          <t>POST request for unregistered email.</t>
        </is>
      </c>
      <c r="G24" s="5" t="inlineStr">
        <is>
          <t>200 with neutral public message.</t>
        </is>
      </c>
      <c r="H24" s="5" t="inlineStr">
        <is>
          <t>200 neutral response returned.</t>
        </is>
      </c>
      <c r="I24" s="5" t="inlineStr">
        <is>
          <t>PASS</t>
        </is>
      </c>
      <c r="J24" s="5" t="inlineStr"/>
      <c r="K24" s="5" t="inlineStr">
        <is>
          <t>Codex verification</t>
        </is>
      </c>
      <c r="L24" s="5" t="inlineStr">
        <is>
          <t>2026-08-20</t>
        </is>
      </c>
      <c r="M24" s="5" t="inlineStr">
        <is>
          <t>live request notes</t>
        </is>
      </c>
    </row>
    <row r="25" ht="54" customHeight="1">
      <c r="A25" s="4" t="inlineStr">
        <is>
          <t>FT-021</t>
        </is>
      </c>
      <c r="B25" s="4" t="inlineStr">
        <is>
          <t>Password reset</t>
        </is>
      </c>
      <c r="C25" s="4" t="inlineStr">
        <is>
          <t>Email</t>
        </is>
      </c>
      <c r="D25" s="4" t="inlineStr">
        <is>
          <t>Known member receives random six-digit code</t>
        </is>
      </c>
      <c r="E25" s="4" t="inlineStr">
        <is>
          <t>Real inbox, verified sender</t>
        </is>
      </c>
      <c r="F25" s="4" t="inlineStr">
        <is>
          <t>Register test account; request reset; inspect inbox.</t>
        </is>
      </c>
      <c r="G25" s="4" t="inlineStr">
        <is>
          <t>One six-digit code received; code differs on next request.</t>
        </is>
      </c>
      <c r="H25" s="4" t="inlineStr">
        <is>
          <t>Known-account request accepted and active hashed reset token created; mailbox receipt and code consumption not yet witnessed.</t>
        </is>
      </c>
      <c r="I25" s="4" t="inlineStr">
        <is>
          <t>BLOCKED</t>
        </is>
      </c>
      <c r="J25" s="4" t="inlineStr">
        <is>
          <t>DEF-002</t>
        </is>
      </c>
      <c r="K25" s="4" t="inlineStr">
        <is>
          <t>Codex verification</t>
        </is>
      </c>
      <c r="L25" s="4" t="inlineStr">
        <is>
          <t>2026-08-20</t>
        </is>
      </c>
      <c r="M25" s="4" t="inlineStr">
        <is>
          <t>Live request + DB token state; attach redacted inbox/reset evidence</t>
        </is>
      </c>
    </row>
    <row r="26" ht="54" customHeight="1">
      <c r="A26" s="5" t="inlineStr">
        <is>
          <t>FT-022</t>
        </is>
      </c>
      <c r="B26" s="5" t="inlineStr">
        <is>
          <t>Password reset</t>
        </is>
      </c>
      <c r="C26" s="5" t="inlineStr">
        <is>
          <t>Security</t>
        </is>
      </c>
      <c r="D26" s="5" t="inlineStr">
        <is>
          <t>Expired or used reset code is rejected</t>
        </is>
      </c>
      <c r="E26" s="5" t="inlineStr">
        <is>
          <t>Issued test code</t>
        </is>
      </c>
      <c r="F26" s="5" t="inlineStr">
        <is>
          <t>Use code; retry same code; test after expiry.</t>
        </is>
      </c>
      <c r="G26" s="5" t="inlineStr">
        <is>
          <t>Reuse and expiry rejected.</t>
        </is>
      </c>
      <c r="H26" s="5" t="inlineStr">
        <is>
          <t>Not run against real inbox flow.</t>
        </is>
      </c>
      <c r="I26" s="5" t="inlineStr">
        <is>
          <t>NOT RUN</t>
        </is>
      </c>
      <c r="J26" s="5" t="inlineStr"/>
      <c r="K26" s="5" t="inlineStr">
        <is>
          <t>Unassigned</t>
        </is>
      </c>
      <c r="L26" s="5" t="inlineStr"/>
      <c r="M26" s="5" t="inlineStr"/>
    </row>
    <row r="27" ht="54" customHeight="1">
      <c r="A27" s="4" t="inlineStr">
        <is>
          <t>FT-023</t>
        </is>
      </c>
      <c r="B27" s="4" t="inlineStr">
        <is>
          <t>FR2</t>
        </is>
      </c>
      <c r="C27" s="4" t="inlineStr">
        <is>
          <t>Attendance</t>
        </is>
      </c>
      <c r="D27" s="4" t="inlineStr">
        <is>
          <t>Confirm attendance online</t>
        </is>
      </c>
      <c r="E27" s="4" t="inlineStr">
        <is>
          <t>Signed in; real test event</t>
        </is>
      </c>
      <c r="F27" s="4" t="inlineStr">
        <is>
          <t>Open event; tap Attend.</t>
        </is>
      </c>
      <c r="G27" s="4" t="inlineStr">
        <is>
          <t>Server confirms; UI shows Attending only after success.</t>
        </is>
      </c>
      <c r="H27" s="4" t="inlineStr">
        <is>
          <t>Not run on a non-demonstration live event.</t>
        </is>
      </c>
      <c r="I27" s="4" t="inlineStr">
        <is>
          <t>BLOCKED</t>
        </is>
      </c>
      <c r="J27" s="4" t="inlineStr">
        <is>
          <t>DEF-006</t>
        </is>
      </c>
      <c r="K27" s="4" t="inlineStr">
        <is>
          <t>Unassigned</t>
        </is>
      </c>
      <c r="L27" s="4" t="inlineStr"/>
      <c r="M27" s="4" t="inlineStr">
        <is>
          <t>Need safe published test event</t>
        </is>
      </c>
    </row>
    <row r="28" ht="54" customHeight="1">
      <c r="A28" s="5" t="inlineStr">
        <is>
          <t>FT-024</t>
        </is>
      </c>
      <c r="B28" s="5" t="inlineStr">
        <is>
          <t>FR2</t>
        </is>
      </c>
      <c r="C28" s="5" t="inlineStr">
        <is>
          <t>Attendance</t>
        </is>
      </c>
      <c r="D28" s="5" t="inlineStr">
        <is>
          <t>Cancel attendance</t>
        </is>
      </c>
      <c r="E28" s="5" t="inlineStr">
        <is>
          <t>Existing attendance</t>
        </is>
      </c>
      <c r="F28" s="5" t="inlineStr">
        <is>
          <t>Tap Cancel attendance.</t>
        </is>
      </c>
      <c r="G28" s="5" t="inlineStr">
        <is>
          <t>Server confirms cancellation; history retained.</t>
        </is>
      </c>
      <c r="H28" s="5" t="inlineStr">
        <is>
          <t>Not run on live real test event.</t>
        </is>
      </c>
      <c r="I28" s="5" t="inlineStr">
        <is>
          <t>BLOCKED</t>
        </is>
      </c>
      <c r="J28" s="5" t="inlineStr">
        <is>
          <t>DEF-006</t>
        </is>
      </c>
      <c r="K28" s="5" t="inlineStr">
        <is>
          <t>Unassigned</t>
        </is>
      </c>
      <c r="L28" s="5" t="inlineStr"/>
      <c r="M28" s="5" t="inlineStr"/>
    </row>
    <row r="29" ht="54" customHeight="1">
      <c r="A29" s="4" t="inlineStr">
        <is>
          <t>FT-025</t>
        </is>
      </c>
      <c r="B29" s="4" t="inlineStr">
        <is>
          <t>FR2</t>
        </is>
      </c>
      <c r="C29" s="4" t="inlineStr">
        <is>
          <t>Attendance</t>
        </is>
      </c>
      <c r="D29" s="4" t="inlineStr">
        <is>
          <t>Duplicate RSVP prevented</t>
        </is>
      </c>
      <c r="E29" s="4" t="inlineStr">
        <is>
          <t>Existing attendance</t>
        </is>
      </c>
      <c r="F29" s="4" t="inlineStr">
        <is>
          <t>Submit Attend twice.</t>
        </is>
      </c>
      <c r="G29" s="4" t="inlineStr">
        <is>
          <t>One user/event row; stable attending state.</t>
        </is>
      </c>
      <c r="H29" s="4" t="inlineStr">
        <is>
          <t>Database script covers unique key; live UI retest pending.</t>
        </is>
      </c>
      <c r="I29" s="4" t="inlineStr">
        <is>
          <t>NOT RUN</t>
        </is>
      </c>
      <c r="J29" s="4" t="inlineStr"/>
      <c r="K29" s="4" t="inlineStr">
        <is>
          <t>Unassigned</t>
        </is>
      </c>
      <c r="L29" s="4" t="inlineStr"/>
      <c r="M29" s="4" t="inlineStr"/>
    </row>
    <row r="30" ht="54" customHeight="1">
      <c r="A30" s="5" t="inlineStr">
        <is>
          <t>FT-026</t>
        </is>
      </c>
      <c r="B30" s="5" t="inlineStr">
        <is>
          <t>Offline rule</t>
        </is>
      </c>
      <c r="C30" s="5" t="inlineStr">
        <is>
          <t>Android</t>
        </is>
      </c>
      <c r="D30" s="5" t="inlineStr">
        <is>
          <t>RSVP does not show false success offline</t>
        </is>
      </c>
      <c r="E30" s="5" t="inlineStr">
        <is>
          <t>Signed in; airplane mode</t>
        </is>
      </c>
      <c r="F30" s="5" t="inlineStr">
        <is>
          <t>Open cached event; tap Attend.</t>
        </is>
      </c>
      <c r="G30" s="5" t="inlineStr">
        <is>
          <t>Clear failure/offline message; no success state.</t>
        </is>
      </c>
      <c r="H30" s="5" t="inlineStr">
        <is>
          <t>Not run.</t>
        </is>
      </c>
      <c r="I30" s="5" t="inlineStr">
        <is>
          <t>NOT RUN</t>
        </is>
      </c>
      <c r="J30" s="5" t="inlineStr"/>
      <c r="K30" s="5" t="inlineStr">
        <is>
          <t>Unassigned</t>
        </is>
      </c>
      <c r="L30" s="5" t="inlineStr"/>
      <c r="M30" s="5" t="inlineStr"/>
    </row>
    <row r="31" ht="54" customHeight="1">
      <c r="A31" s="4" t="inlineStr">
        <is>
          <t>FT-027</t>
        </is>
      </c>
      <c r="B31" s="4" t="inlineStr">
        <is>
          <t>FR14</t>
        </is>
      </c>
      <c r="C31" s="4" t="inlineStr">
        <is>
          <t>Events</t>
        </is>
      </c>
      <c r="D31" s="4" t="inlineStr">
        <is>
          <t>Filter events by category/date</t>
        </is>
      </c>
      <c r="E31" s="4" t="inlineStr">
        <is>
          <t>Multiple published events</t>
        </is>
      </c>
      <c r="F31" s="4" t="inlineStr">
        <is>
          <t>Select filters; clear filters.</t>
        </is>
      </c>
      <c r="G31" s="4" t="inlineStr">
        <is>
          <t>Only matching events; empty state if none.</t>
        </is>
      </c>
      <c r="H31" s="4" t="inlineStr">
        <is>
          <t>Not run with representative live content.</t>
        </is>
      </c>
      <c r="I31" s="4" t="inlineStr">
        <is>
          <t>BLOCKED</t>
        </is>
      </c>
      <c r="J31" s="4" t="inlineStr">
        <is>
          <t>DEF-006</t>
        </is>
      </c>
      <c r="K31" s="4" t="inlineStr">
        <is>
          <t>Unassigned</t>
        </is>
      </c>
      <c r="L31" s="4" t="inlineStr"/>
      <c r="M31" s="4" t="inlineStr"/>
    </row>
    <row r="32" ht="54" customHeight="1">
      <c r="A32" s="5" t="inlineStr">
        <is>
          <t>FT-028</t>
        </is>
      </c>
      <c r="B32" s="5" t="inlineStr">
        <is>
          <t>FR3/FR14</t>
        </is>
      </c>
      <c r="C32" s="5" t="inlineStr">
        <is>
          <t>Discounts</t>
        </is>
      </c>
      <c r="D32" s="5" t="inlineStr">
        <is>
          <t>Filter discounts by category</t>
        </is>
      </c>
      <c r="E32" s="5" t="inlineStr">
        <is>
          <t>Multiple categories</t>
        </is>
      </c>
      <c r="F32" s="5" t="inlineStr">
        <is>
          <t>Select Pharmacy, Grocery, Restaurant.</t>
        </is>
      </c>
      <c r="G32" s="5" t="inlineStr">
        <is>
          <t>Only matching active records shown.</t>
        </is>
      </c>
      <c r="H32" s="5" t="inlineStr">
        <is>
          <t>Not run manually.</t>
        </is>
      </c>
      <c r="I32" s="5" t="inlineStr">
        <is>
          <t>NOT RUN</t>
        </is>
      </c>
      <c r="J32" s="5" t="inlineStr"/>
      <c r="K32" s="5" t="inlineStr">
        <is>
          <t>Unassigned</t>
        </is>
      </c>
      <c r="L32" s="5" t="inlineStr"/>
      <c r="M32" s="5" t="inlineStr"/>
    </row>
    <row r="33" ht="54" customHeight="1">
      <c r="A33" s="4" t="inlineStr">
        <is>
          <t>FT-029</t>
        </is>
      </c>
      <c r="B33" s="4" t="inlineStr">
        <is>
          <t>FR4/FR13</t>
        </is>
      </c>
      <c r="C33" s="4" t="inlineStr">
        <is>
          <t>Services</t>
        </is>
      </c>
      <c r="D33" s="4" t="inlineStr">
        <is>
          <t>Call and directions actions</t>
        </is>
      </c>
      <c r="E33" s="4" t="inlineStr">
        <is>
          <t>Device with phone/maps</t>
        </is>
      </c>
      <c r="F33" s="4" t="inlineStr">
        <is>
          <t>Open service; tap Call and Directions.</t>
        </is>
      </c>
      <c r="G33" s="4" t="inlineStr">
        <is>
          <t>Correct number/destination passed to device app.</t>
        </is>
      </c>
      <c r="H33" s="4" t="inlineStr">
        <is>
          <t>Not run on physical device.</t>
        </is>
      </c>
      <c r="I33" s="4" t="inlineStr">
        <is>
          <t>BLOCKED</t>
        </is>
      </c>
      <c r="J33" s="4" t="inlineStr">
        <is>
          <t>DEF-007</t>
        </is>
      </c>
      <c r="K33" s="4" t="inlineStr">
        <is>
          <t>Unassigned</t>
        </is>
      </c>
      <c r="L33" s="4" t="inlineStr"/>
      <c r="M33" s="4" t="inlineStr"/>
    </row>
    <row r="34" ht="54" customHeight="1">
      <c r="A34" s="5" t="inlineStr">
        <is>
          <t>FT-030</t>
        </is>
      </c>
      <c r="B34" s="5" t="inlineStr">
        <is>
          <t>FR5</t>
        </is>
      </c>
      <c r="C34" s="5" t="inlineStr">
        <is>
          <t>Contact</t>
        </is>
      </c>
      <c r="D34" s="5" t="inlineStr">
        <is>
          <t>Submit valid contact message</t>
        </is>
      </c>
      <c r="E34" s="5" t="inlineStr">
        <is>
          <t>Live service</t>
        </is>
      </c>
      <c r="F34" s="5" t="inlineStr">
        <is>
          <t>Fill required fields and submit.</t>
        </is>
      </c>
      <c r="G34" s="5" t="inlineStr">
        <is>
          <t>Confirmation shown; database message stored.</t>
        </is>
      </c>
      <c r="H34" s="5" t="inlineStr">
        <is>
          <t>Scripted database test exists; live browser evidence pending.</t>
        </is>
      </c>
      <c r="I34" s="5" t="inlineStr">
        <is>
          <t>NOT RUN</t>
        </is>
      </c>
      <c r="J34" s="5" t="inlineStr"/>
      <c r="K34" s="5" t="inlineStr">
        <is>
          <t>Unassigned</t>
        </is>
      </c>
      <c r="L34" s="5" t="inlineStr"/>
      <c r="M34" s="5" t="inlineStr"/>
    </row>
    <row r="35" ht="54" customHeight="1">
      <c r="A35" s="4" t="inlineStr">
        <is>
          <t>FT-031</t>
        </is>
      </c>
      <c r="B35" s="4" t="inlineStr">
        <is>
          <t>FR15</t>
        </is>
      </c>
      <c r="C35" s="4" t="inlineStr">
        <is>
          <t>Contact</t>
        </is>
      </c>
      <c r="D35" s="4" t="inlineStr">
        <is>
          <t>Reject invalid/short contact input</t>
        </is>
      </c>
      <c r="E35" s="4" t="inlineStr">
        <is>
          <t>Contact form</t>
        </is>
      </c>
      <c r="F35" s="4" t="inlineStr">
        <is>
          <t>Submit invalid email and &lt;10-character message.</t>
        </is>
      </c>
      <c r="G35" s="4" t="inlineStr">
        <is>
          <t>Accessible validation message; no row stored.</t>
        </is>
      </c>
      <c r="H35" s="4" t="inlineStr">
        <is>
          <t>Not run manually.</t>
        </is>
      </c>
      <c r="I35" s="4" t="inlineStr">
        <is>
          <t>NOT RUN</t>
        </is>
      </c>
      <c r="J35" s="4" t="inlineStr"/>
      <c r="K35" s="4" t="inlineStr">
        <is>
          <t>Unassigned</t>
        </is>
      </c>
      <c r="L35" s="4" t="inlineStr"/>
      <c r="M35" s="4" t="inlineStr"/>
    </row>
    <row r="36" ht="54" customHeight="1">
      <c r="A36" s="5" t="inlineStr">
        <is>
          <t>FT-032</t>
        </is>
      </c>
      <c r="B36" s="5" t="inlineStr">
        <is>
          <t>FR10</t>
        </is>
      </c>
      <c r="C36" s="5" t="inlineStr">
        <is>
          <t>Admin</t>
        </is>
      </c>
      <c r="D36" s="5" t="inlineStr">
        <is>
          <t>Create, edit, archive and restore event</t>
        </is>
      </c>
      <c r="E36" s="5" t="inlineStr">
        <is>
          <t>Admin account</t>
        </is>
      </c>
      <c r="F36" s="5" t="inlineStr">
        <is>
          <t>Log in as admin; create labelled test event; edit it; archive with reason; restore; verify member view and audit.</t>
        </is>
      </c>
      <c r="G36" s="5" t="inlineStr">
        <is>
          <t>Changes persist, stale versions are rejected and lifecycle actions appear in Audit History.</t>
        </is>
      </c>
      <c r="H36" s="5" t="inlineStr">
        <is>
          <t>Migration/account deployed; isolated MySQL event lifecycle, audit and stale-write tests passed. Authenticated production screenshots not captured.</t>
        </is>
      </c>
      <c r="I36" s="5" t="inlineStr">
        <is>
          <t>BLOCKED</t>
        </is>
      </c>
      <c r="J36" s="5" t="inlineStr">
        <is>
          <t>DEF-004</t>
        </is>
      </c>
      <c r="K36" s="5" t="inlineStr">
        <is>
          <t>Codex isolated integration</t>
        </is>
      </c>
      <c r="L36" s="5" t="inlineStr">
        <is>
          <t>2026-08-20</t>
        </is>
      </c>
      <c r="M36" s="5" t="inlineStr">
        <is>
          <t>docs/ADMIN_AUDIT_2026-08-20.md; live screenshots still required</t>
        </is>
      </c>
    </row>
    <row r="37" ht="54" customHeight="1">
      <c r="A37" s="4" t="inlineStr">
        <is>
          <t>FT-033</t>
        </is>
      </c>
      <c r="B37" s="4" t="inlineStr">
        <is>
          <t>FR11</t>
        </is>
      </c>
      <c r="C37" s="4" t="inlineStr">
        <is>
          <t>Admin</t>
        </is>
      </c>
      <c r="D37" s="4" t="inlineStr">
        <is>
          <t>Create, edit, archive and restore discount</t>
        </is>
      </c>
      <c r="E37" s="4" t="inlineStr">
        <is>
          <t>Admin account</t>
        </is>
      </c>
      <c r="F37" s="4" t="inlineStr">
        <is>
          <t>Log in as admin; create labelled test discount; edit; archive with reason; restore; verify public view and audit.</t>
        </is>
      </c>
      <c r="G37" s="4" t="inlineStr">
        <is>
          <t>Changes persist, stale versions are rejected and lifecycle actions appear in Audit History.</t>
        </is>
      </c>
      <c r="H37" s="4" t="inlineStr">
        <is>
          <t>Migration/account deployed; isolated MySQL discount lifecycle and audit tests passed. Authenticated production screenshots not captured.</t>
        </is>
      </c>
      <c r="I37" s="4" t="inlineStr">
        <is>
          <t>BLOCKED</t>
        </is>
      </c>
      <c r="J37" s="4" t="inlineStr">
        <is>
          <t>DEF-004</t>
        </is>
      </c>
      <c r="K37" s="4" t="inlineStr">
        <is>
          <t>Codex isolated integration</t>
        </is>
      </c>
      <c r="L37" s="4" t="inlineStr">
        <is>
          <t>2026-08-20</t>
        </is>
      </c>
      <c r="M37" s="4" t="inlineStr">
        <is>
          <t>docs/ADMIN_AUDIT_2026-08-20.md; live screenshots still required</t>
        </is>
      </c>
    </row>
    <row r="38" ht="54" customHeight="1">
      <c r="A38" s="5" t="inlineStr">
        <is>
          <t>FT-034</t>
        </is>
      </c>
      <c r="B38" s="5" t="inlineStr">
        <is>
          <t>Admin</t>
        </is>
      </c>
      <c r="C38" s="5" t="inlineStr">
        <is>
          <t>Admin</t>
        </is>
      </c>
      <c r="D38" s="5" t="inlineStr">
        <is>
          <t>Manage services, messages and audit history</t>
        </is>
      </c>
      <c r="E38" s="5" t="inlineStr">
        <is>
          <t>Admin account</t>
        </is>
      </c>
      <c r="F38" s="5" t="inlineStr">
        <is>
          <t>Create/edit/archive/restore a labelled service; search/filter messages; change message status; inspect Audit History.</t>
        </is>
      </c>
      <c r="G38" s="5" t="inlineStr">
        <is>
          <t>Database/public view update, message tools paginate/filter correctly and privileged actions are auditable.</t>
        </is>
      </c>
      <c r="H38" s="5" t="inlineStr">
        <is>
          <t>Source and isolated MySQL service/message/audit journeys passed. Authenticated production screenshots not captured.</t>
        </is>
      </c>
      <c r="I38" s="5" t="inlineStr">
        <is>
          <t>BLOCKED</t>
        </is>
      </c>
      <c r="J38" s="5" t="inlineStr">
        <is>
          <t>DEF-004</t>
        </is>
      </c>
      <c r="K38" s="5" t="inlineStr">
        <is>
          <t>Codex isolated integration</t>
        </is>
      </c>
      <c r="L38" s="5" t="inlineStr">
        <is>
          <t>2026-08-20</t>
        </is>
      </c>
      <c r="M38" s="5" t="inlineStr">
        <is>
          <t>docs/ADMIN_AUDIT_2026-08-20.md; live screenshots still required</t>
        </is>
      </c>
    </row>
    <row r="39" ht="54" customHeight="1">
      <c r="A39" s="4" t="inlineStr">
        <is>
          <t>FT-035</t>
        </is>
      </c>
      <c r="B39" s="4" t="inlineStr">
        <is>
          <t>FR7</t>
        </is>
      </c>
      <c r="C39" s="4" t="inlineStr">
        <is>
          <t>Notifications</t>
        </is>
      </c>
      <c r="D39" s="4" t="inlineStr">
        <is>
          <t>24-hour event reminder</t>
        </is>
      </c>
      <c r="E39" s="4" t="inlineStr">
        <is>
          <t>FCM configured; attending event</t>
        </is>
      </c>
      <c r="F39" s="4" t="inlineStr">
        <is>
          <t>Enable reminders; wait/simulate scheduled worker.</t>
        </is>
      </c>
      <c r="G39" s="4" t="inlineStr">
        <is>
          <t>One notification; deep link opens event.</t>
        </is>
      </c>
      <c r="H39" s="4" t="inlineStr">
        <is>
          <t>Real Firebase credentials/device evidence absent.</t>
        </is>
      </c>
      <c r="I39" s="4" t="inlineStr">
        <is>
          <t>BLOCKED</t>
        </is>
      </c>
      <c r="J39" s="4" t="inlineStr">
        <is>
          <t>DEF-005</t>
        </is>
      </c>
      <c r="K39" s="4" t="inlineStr">
        <is>
          <t>Unassigned</t>
        </is>
      </c>
      <c r="L39" s="4" t="inlineStr"/>
      <c r="M39" s="4" t="inlineStr"/>
    </row>
    <row r="40" ht="54" customHeight="1">
      <c r="A40" s="5" t="inlineStr">
        <is>
          <t>FT-036</t>
        </is>
      </c>
      <c r="B40" s="5" t="inlineStr">
        <is>
          <t>FR8</t>
        </is>
      </c>
      <c r="C40" s="5" t="inlineStr">
        <is>
          <t>Notifications</t>
        </is>
      </c>
      <c r="D40" s="5" t="inlineStr">
        <is>
          <t>New discount notification</t>
        </is>
      </c>
      <c r="E40" s="5" t="inlineStr">
        <is>
          <t>FCM configured</t>
        </is>
      </c>
      <c r="F40" s="5" t="inlineStr">
        <is>
          <t>Publish discount from admin.</t>
        </is>
      </c>
      <c r="G40" s="5" t="inlineStr">
        <is>
          <t>Eligible devices receive one alert.</t>
        </is>
      </c>
      <c r="H40" s="5" t="inlineStr">
        <is>
          <t>Not run; Firebase configuration absent.</t>
        </is>
      </c>
      <c r="I40" s="5" t="inlineStr">
        <is>
          <t>BLOCKED</t>
        </is>
      </c>
      <c r="J40" s="5" t="inlineStr">
        <is>
          <t>DEF-005</t>
        </is>
      </c>
      <c r="K40" s="5" t="inlineStr">
        <is>
          <t>Unassigned</t>
        </is>
      </c>
      <c r="L40" s="5" t="inlineStr"/>
      <c r="M40" s="5" t="inlineStr"/>
    </row>
    <row r="41" ht="54" customHeight="1">
      <c r="A41" s="4" t="inlineStr">
        <is>
          <t>FT-037</t>
        </is>
      </c>
      <c r="B41" s="4" t="inlineStr">
        <is>
          <t>Profile</t>
        </is>
      </c>
      <c r="C41" s="4" t="inlineStr">
        <is>
          <t>Android/iOS</t>
        </is>
      </c>
      <c r="D41" s="4" t="inlineStr">
        <is>
          <t>Notification preference persists</t>
        </is>
      </c>
      <c r="E41" s="4" t="inlineStr">
        <is>
          <t>Signed-in member</t>
        </is>
      </c>
      <c r="F41" s="4" t="inlineStr">
        <is>
          <t>Toggle each preference; relaunch; inspect server.</t>
        </is>
      </c>
      <c r="G41" s="4" t="inlineStr">
        <is>
          <t>Value persists locally and on server.</t>
        </is>
      </c>
      <c r="H41" s="4" t="inlineStr">
        <is>
          <t>Not run end-to-end.</t>
        </is>
      </c>
      <c r="I41" s="4" t="inlineStr">
        <is>
          <t>NOT RUN</t>
        </is>
      </c>
      <c r="J41" s="4" t="inlineStr"/>
      <c r="K41" s="4" t="inlineStr">
        <is>
          <t>Unassigned</t>
        </is>
      </c>
      <c r="L41" s="4" t="inlineStr"/>
      <c r="M41" s="4" t="inlineStr"/>
    </row>
    <row r="42" ht="54" customHeight="1">
      <c r="A42" s="5" t="inlineStr">
        <is>
          <t>FT-038</t>
        </is>
      </c>
      <c r="B42" s="5" t="inlineStr">
        <is>
          <t>NFR1</t>
        </is>
      </c>
      <c r="C42" s="5" t="inlineStr">
        <is>
          <t>Accessibility</t>
        </is>
      </c>
      <c r="D42" s="5" t="inlineStr">
        <is>
          <t>TalkBack/VoiceOver core tasks</t>
        </is>
      </c>
      <c r="E42" s="5" t="inlineStr">
        <is>
          <t>Physical devices</t>
        </is>
      </c>
      <c r="F42" s="5" t="inlineStr">
        <is>
          <t>Complete login, event, discount, contact with screen reader.</t>
        </is>
      </c>
      <c r="G42" s="5" t="inlineStr">
        <is>
          <t>Labels read logically; all actions possible.</t>
        </is>
      </c>
      <c r="H42" s="5" t="inlineStr">
        <is>
          <t>Human evidence not supplied.</t>
        </is>
      </c>
      <c r="I42" s="5" t="inlineStr">
        <is>
          <t>BLOCKED</t>
        </is>
      </c>
      <c r="J42" s="5" t="inlineStr">
        <is>
          <t>DEF-007</t>
        </is>
      </c>
      <c r="K42" s="5" t="inlineStr">
        <is>
          <t>Unassigned</t>
        </is>
      </c>
      <c r="L42" s="5" t="inlineStr"/>
      <c r="M42" s="5" t="inlineStr"/>
    </row>
    <row r="43" ht="54" customHeight="1">
      <c r="A43" s="4" t="inlineStr">
        <is>
          <t>FT-039</t>
        </is>
      </c>
      <c r="B43" s="4" t="inlineStr">
        <is>
          <t>NFR1</t>
        </is>
      </c>
      <c r="C43" s="4" t="inlineStr">
        <is>
          <t>Accessibility</t>
        </is>
      </c>
      <c r="D43" s="4" t="inlineStr">
        <is>
          <t>200% system font scale</t>
        </is>
      </c>
      <c r="E43" s="4" t="inlineStr">
        <is>
          <t>Physical devices</t>
        </is>
      </c>
      <c r="F43" s="4" t="inlineStr">
        <is>
          <t>Set 200%; repeat core tasks.</t>
        </is>
      </c>
      <c r="G43" s="4" t="inlineStr">
        <is>
          <t>No clipped/unreachable text or controls.</t>
        </is>
      </c>
      <c r="H43" s="4" t="inlineStr">
        <is>
          <t>Human evidence not supplied.</t>
        </is>
      </c>
      <c r="I43" s="4" t="inlineStr">
        <is>
          <t>BLOCKED</t>
        </is>
      </c>
      <c r="J43" s="4" t="inlineStr">
        <is>
          <t>DEF-007</t>
        </is>
      </c>
      <c r="K43" s="4" t="inlineStr">
        <is>
          <t>Unassigned</t>
        </is>
      </c>
      <c r="L43" s="4" t="inlineStr"/>
      <c r="M43" s="4" t="inlineStr"/>
    </row>
    <row r="44" ht="54" customHeight="1">
      <c r="A44" s="5" t="inlineStr">
        <is>
          <t>FT-040</t>
        </is>
      </c>
      <c r="B44" s="5" t="inlineStr">
        <is>
          <t>Security</t>
        </is>
      </c>
      <c r="C44" s="5" t="inlineStr">
        <is>
          <t>HTTP</t>
        </is>
      </c>
      <c r="D44" s="5" t="inlineStr">
        <is>
          <t>Required security headers</t>
        </is>
      </c>
      <c r="E44" s="5" t="inlineStr">
        <is>
          <t>Live HTTPS</t>
        </is>
      </c>
      <c r="F44" s="5" t="inlineStr">
        <is>
          <t>Inspect representative responses.</t>
        </is>
      </c>
      <c r="G44" s="5" t="inlineStr">
        <is>
          <t>HSTS, CSP and nosniff present.</t>
        </is>
      </c>
      <c r="H44" s="5" t="inlineStr">
        <is>
          <t>Live login returned CSP, HSTS, X-Content-Type-Options nosniff, X-Frame-Options DENY and strict referrer policy.</t>
        </is>
      </c>
      <c r="I44" s="4" t="inlineStr">
        <is>
          <t>PASS</t>
        </is>
      </c>
      <c r="J44" s="5" t="n"/>
      <c r="K44" s="5" t="inlineStr">
        <is>
          <t>Codex verification</t>
        </is>
      </c>
      <c r="L44" s="5" t="inlineStr">
        <is>
          <t>2026-08-20</t>
        </is>
      </c>
      <c r="M44" s="5" t="inlineStr">
        <is>
          <t>Post-deployment live header verification; DEF-003 closed</t>
        </is>
      </c>
    </row>
    <row r="45" ht="54" customHeight="1">
      <c r="A45" s="4" t="inlineStr">
        <is>
          <t>FT-041</t>
        </is>
      </c>
      <c r="B45" s="4" t="inlineStr">
        <is>
          <t>UAT</t>
        </is>
      </c>
      <c r="C45" s="4" t="inlineStr">
        <is>
          <t>Acceptance</t>
        </is>
      </c>
      <c r="D45" s="4" t="inlineStr">
        <is>
          <t>Six-person elderly-user UAT</t>
        </is>
      </c>
      <c r="E45" s="4" t="inlineStr">
        <is>
          <t>Six independent BKK participants 60+</t>
        </is>
      </c>
      <c r="F45" s="4" t="inlineStr">
        <is>
          <t>Run ten tasks and accessibility repeats; collect sign-off.</t>
        </is>
      </c>
      <c r="G45" s="4" t="inlineStr">
        <is>
          <t>&gt;=80% independent; average &gt;=4/5; no critical defects.</t>
        </is>
      </c>
      <c r="H45" s="4" t="inlineStr">
        <is>
          <t>No real participant evidence supplied.</t>
        </is>
      </c>
      <c r="I45" s="4" t="inlineStr">
        <is>
          <t>BLOCKED</t>
        </is>
      </c>
      <c r="J45" s="4" t="inlineStr">
        <is>
          <t>DEF-008</t>
        </is>
      </c>
      <c r="K45" s="4" t="inlineStr">
        <is>
          <t>Unassigned</t>
        </is>
      </c>
      <c r="L45" s="4" t="inlineStr"/>
      <c r="M45" s="4" t="inlineStr">
        <is>
          <t>UAT Task Sheet</t>
        </is>
      </c>
    </row>
  </sheetData>
  <autoFilter ref="A4:M45"/>
  <mergeCells count="2">
    <mergeCell ref="A2:M2"/>
    <mergeCell ref="A1:M1"/>
  </mergeCells>
  <conditionalFormatting sqref="I5:I2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1">
    <dataValidation sqref="I5:I200" showDropDown="0" showInputMessage="0" showErrorMessage="0" allowBlank="1" type="list">
      <formula1>"PASS,FAIL,BLOCKED,NOT RUN,N/A"</formula1>
    </dataValidation>
  </dataValidations>
  <printOptions horizontalCentered="1"/>
  <pageMargins left="0.25" right="0.25" top="0.45" bottom="0.45" header="0.15" footer="0.15"/>
  <pageSetup orientation="landscape" paperSize="9" fitToHeight="0" fitToWidth="1"/>
  <headerFooter>
    <oddHeader>&amp;C&amp;8 BKK Community Platform — WDP371 Phase 3 &amp; 4</oddHeader>
    <oddFooter>&amp;C&amp;8 BKK Community Platform | Test evidence |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4" customWidth="1" min="3" max="3"/>
    <col width="38" customWidth="1" min="4" max="4"/>
    <col width="38" customWidth="1" min="5" max="5"/>
    <col width="38" customWidth="1" min="6" max="6"/>
    <col width="13" customWidth="1" min="7" max="7"/>
    <col width="20" customWidth="1" min="8" max="8"/>
    <col width="14" customWidth="1" min="9" max="9"/>
    <col width="26" customWidth="1" min="10" max="10"/>
  </cols>
  <sheetData>
    <row r="1" ht="30" customHeight="1">
      <c r="A1" s="11" t="inlineStr">
        <is>
          <t>Responsive and Cross-Browser Tests</t>
        </is>
      </c>
    </row>
    <row r="2" ht="32" customHeight="1">
      <c r="A2" s="2" t="inlineStr">
        <is>
          <t>Required desktop/tablet/mobile widths and browser/device combinations. Only evidence actually captured is marked PASS.</t>
        </is>
      </c>
    </row>
    <row r="3"/>
    <row r="4" ht="38" customHeight="1">
      <c r="A4" s="12" t="inlineStr">
        <is>
          <t>ID</t>
        </is>
      </c>
      <c r="B4" s="12" t="inlineStr">
        <is>
          <t>Platform/browser</t>
        </is>
      </c>
      <c r="C4" s="12" t="inlineStr">
        <is>
          <t>Viewport/device</t>
        </is>
      </c>
      <c r="D4" s="12" t="inlineStr">
        <is>
          <t>Pages/tasks</t>
        </is>
      </c>
      <c r="E4" s="12" t="inlineStr">
        <is>
          <t>Expected</t>
        </is>
      </c>
      <c r="F4" s="12" t="inlineStr">
        <is>
          <t>Actual</t>
        </is>
      </c>
      <c r="G4" s="12" t="inlineStr">
        <is>
          <t>Status</t>
        </is>
      </c>
      <c r="H4" s="12" t="inlineStr">
        <is>
          <t>Tester</t>
        </is>
      </c>
      <c r="I4" s="12" t="inlineStr">
        <is>
          <t>Date</t>
        </is>
      </c>
      <c r="J4" s="12" t="inlineStr">
        <is>
          <t>Evidence</t>
        </is>
      </c>
    </row>
    <row r="5" ht="54" customHeight="1">
      <c r="A5" s="4" t="inlineStr">
        <is>
          <t>RB-001</t>
        </is>
      </c>
      <c r="B5" s="4" t="inlineStr">
        <is>
          <t>Chrome</t>
        </is>
      </c>
      <c r="C5" s="4" t="inlineStr">
        <is>
          <t>390 × 844 mobile viewport</t>
        </is>
      </c>
      <c r="D5" s="4" t="inlineStr">
        <is>
          <t>Primary pages + 200% zoom</t>
        </is>
      </c>
      <c r="E5" s="4" t="inlineStr">
        <is>
          <t>No horizontal loss; navigation and scroll usable</t>
        </is>
      </c>
      <c r="F5" s="4" t="inlineStr">
        <is>
          <t>Passed in core journey</t>
        </is>
      </c>
      <c r="G5" s="4" t="inlineStr">
        <is>
          <t>PASS</t>
        </is>
      </c>
      <c r="H5" s="4" t="inlineStr">
        <is>
          <t>Team journey</t>
        </is>
      </c>
      <c r="I5" s="4" t="inlineStr">
        <is>
          <t>2026-08-14</t>
        </is>
      </c>
      <c r="J5" s="4" t="inlineStr">
        <is>
          <t>elderly-core JSON</t>
        </is>
      </c>
    </row>
    <row r="6" ht="54" customHeight="1">
      <c r="A6" s="5" t="inlineStr">
        <is>
          <t>RB-002</t>
        </is>
      </c>
      <c r="B6" s="5" t="inlineStr">
        <is>
          <t>Website</t>
        </is>
      </c>
      <c r="C6" s="5" t="inlineStr">
        <is>
          <t>375 px mobile</t>
        </is>
      </c>
      <c r="D6" s="5" t="inlineStr">
        <is>
          <t>Home, Login, Events, Discounts, Info, Contact</t>
        </is>
      </c>
      <c r="E6" s="5" t="inlineStr">
        <is>
          <t>Readable layout and 48px controls</t>
        </is>
      </c>
      <c r="F6" s="5" t="inlineStr">
        <is>
          <t>Current screenshots available for Home only</t>
        </is>
      </c>
      <c r="G6" s="5" t="inlineStr">
        <is>
          <t>NOT RUN</t>
        </is>
      </c>
      <c r="H6" s="5" t="inlineStr"/>
      <c r="I6" s="5" t="inlineStr"/>
      <c r="J6" s="5" t="inlineStr">
        <is>
          <t>Capture all pages</t>
        </is>
      </c>
    </row>
    <row r="7" ht="54" customHeight="1">
      <c r="A7" s="4" t="inlineStr">
        <is>
          <t>RB-003</t>
        </is>
      </c>
      <c r="B7" s="4" t="inlineStr">
        <is>
          <t>Website</t>
        </is>
      </c>
      <c r="C7" s="4" t="inlineStr">
        <is>
          <t>768 px tablet</t>
        </is>
      </c>
      <c r="D7" s="4" t="inlineStr">
        <is>
          <t>All member pages</t>
        </is>
      </c>
      <c r="E7" s="4" t="inlineStr">
        <is>
          <t>Grid adapts; no overlap</t>
        </is>
      </c>
      <c r="F7" s="4" t="inlineStr">
        <is>
          <t>No current evidence</t>
        </is>
      </c>
      <c r="G7" s="4" t="inlineStr">
        <is>
          <t>NOT RUN</t>
        </is>
      </c>
      <c r="H7" s="4" t="inlineStr"/>
      <c r="I7" s="4" t="inlineStr"/>
      <c r="J7" s="4" t="inlineStr"/>
    </row>
    <row r="8" ht="54" customHeight="1">
      <c r="A8" s="5" t="inlineStr">
        <is>
          <t>RB-004</t>
        </is>
      </c>
      <c r="B8" s="5" t="inlineStr">
        <is>
          <t>Website</t>
        </is>
      </c>
      <c r="C8" s="5" t="inlineStr">
        <is>
          <t>1440 px desktop</t>
        </is>
      </c>
      <c r="D8" s="5" t="inlineStr">
        <is>
          <t>Home and Events</t>
        </is>
      </c>
      <c r="E8" s="5" t="inlineStr">
        <is>
          <t>Centered shell; readable line lengths</t>
        </is>
      </c>
      <c r="F8" s="5" t="inlineStr">
        <is>
          <t>Existing coded screenshots in repository</t>
        </is>
      </c>
      <c r="G8" s="5" t="inlineStr">
        <is>
          <t>PASS</t>
        </is>
      </c>
      <c r="H8" s="5" t="inlineStr">
        <is>
          <t>Project team</t>
        </is>
      </c>
      <c r="I8" s="5" t="inlineStr">
        <is>
          <t>2026-08-13</t>
        </is>
      </c>
      <c r="J8" s="5" t="inlineStr">
        <is>
          <t>docs/assets</t>
        </is>
      </c>
    </row>
    <row r="9" ht="54" customHeight="1">
      <c r="A9" s="4" t="inlineStr">
        <is>
          <t>RB-005</t>
        </is>
      </c>
      <c r="B9" s="4" t="inlineStr">
        <is>
          <t>Safari</t>
        </is>
      </c>
      <c r="C9" s="4" t="inlineStr">
        <is>
          <t>Current macOS/iOS</t>
        </is>
      </c>
      <c r="D9" s="4" t="inlineStr">
        <is>
          <t>Register, Login, Reset, navigation</t>
        </is>
      </c>
      <c r="E9" s="4" t="inlineStr">
        <is>
          <t>Same functional result as Chrome</t>
        </is>
      </c>
      <c r="F9" s="4" t="inlineStr">
        <is>
          <t>Not executed</t>
        </is>
      </c>
      <c r="G9" s="4" t="inlineStr">
        <is>
          <t>NOT RUN</t>
        </is>
      </c>
      <c r="H9" s="4" t="inlineStr"/>
      <c r="I9" s="4" t="inlineStr"/>
      <c r="J9" s="4" t="inlineStr"/>
    </row>
    <row r="10" ht="54" customHeight="1">
      <c r="A10" s="5" t="inlineStr">
        <is>
          <t>RB-006</t>
        </is>
      </c>
      <c r="B10" s="5" t="inlineStr">
        <is>
          <t>Firefox</t>
        </is>
      </c>
      <c r="C10" s="5" t="inlineStr">
        <is>
          <t>Current desktop</t>
        </is>
      </c>
      <c r="D10" s="5" t="inlineStr">
        <is>
          <t>All primary pages</t>
        </is>
      </c>
      <c r="E10" s="5" t="inlineStr">
        <is>
          <t>Same functional result as Chrome</t>
        </is>
      </c>
      <c r="F10" s="5" t="inlineStr">
        <is>
          <t>Not executed</t>
        </is>
      </c>
      <c r="G10" s="5" t="inlineStr">
        <is>
          <t>NOT RUN</t>
        </is>
      </c>
      <c r="H10" s="5" t="inlineStr"/>
      <c r="I10" s="5" t="inlineStr"/>
      <c r="J10" s="5" t="inlineStr"/>
    </row>
    <row r="11" ht="54" customHeight="1">
      <c r="A11" s="4" t="inlineStr">
        <is>
          <t>RB-007</t>
        </is>
      </c>
      <c r="B11" s="4" t="inlineStr">
        <is>
          <t>Edge</t>
        </is>
      </c>
      <c r="C11" s="4" t="inlineStr">
        <is>
          <t>Current desktop</t>
        </is>
      </c>
      <c r="D11" s="4" t="inlineStr">
        <is>
          <t>All primary pages</t>
        </is>
      </c>
      <c r="E11" s="4" t="inlineStr">
        <is>
          <t>Same functional result as Chrome</t>
        </is>
      </c>
      <c r="F11" s="4" t="inlineStr">
        <is>
          <t>Not executed</t>
        </is>
      </c>
      <c r="G11" s="4" t="inlineStr">
        <is>
          <t>NOT RUN</t>
        </is>
      </c>
      <c r="H11" s="4" t="inlineStr"/>
      <c r="I11" s="4" t="inlineStr"/>
      <c r="J11" s="4" t="inlineStr"/>
    </row>
    <row r="12" ht="54" customHeight="1">
      <c r="A12" s="5" t="inlineStr">
        <is>
          <t>RB-008</t>
        </is>
      </c>
      <c r="B12" s="5" t="inlineStr">
        <is>
          <t>Android</t>
        </is>
      </c>
      <c r="C12" s="5" t="inlineStr">
        <is>
          <t>API 26 emulator</t>
        </is>
      </c>
      <c r="D12" s="5" t="inlineStr">
        <is>
          <t>Login, recovery, register, Home, schedule</t>
        </is>
      </c>
      <c r="E12" s="5" t="inlineStr">
        <is>
          <t>Works on minimum supported OS</t>
        </is>
      </c>
      <c r="F12" s="5" t="inlineStr">
        <is>
          <t>6 connected device tests passed</t>
        </is>
      </c>
      <c r="G12" s="5" t="inlineStr">
        <is>
          <t>PASS</t>
        </is>
      </c>
      <c r="H12" s="5" t="inlineStr">
        <is>
          <t>Team journey</t>
        </is>
      </c>
      <c r="I12" s="5" t="inlineStr">
        <is>
          <t>2026-08-14</t>
        </is>
      </c>
      <c r="J12" s="5" t="inlineStr">
        <is>
          <t>elderly-core JSON</t>
        </is>
      </c>
    </row>
    <row r="13" ht="54" customHeight="1">
      <c r="A13" s="4" t="inlineStr">
        <is>
          <t>RB-009</t>
        </is>
      </c>
      <c r="B13" s="4" t="inlineStr">
        <is>
          <t>Android</t>
        </is>
      </c>
      <c r="C13" s="4" t="inlineStr">
        <is>
          <t>Current physical device</t>
        </is>
      </c>
      <c r="D13" s="4" t="inlineStr">
        <is>
          <t>Full member journey + notifications</t>
        </is>
      </c>
      <c r="E13" s="4" t="inlineStr">
        <is>
          <t>All tasks pass</t>
        </is>
      </c>
      <c r="F13" s="4" t="inlineStr">
        <is>
          <t>Physical-device evidence absent</t>
        </is>
      </c>
      <c r="G13" s="4" t="inlineStr">
        <is>
          <t>BLOCKED</t>
        </is>
      </c>
      <c r="H13" s="4" t="inlineStr"/>
      <c r="I13" s="4" t="inlineStr"/>
      <c r="J13" s="4" t="inlineStr">
        <is>
          <t>DEF-005/007</t>
        </is>
      </c>
    </row>
    <row r="14" ht="54" customHeight="1">
      <c r="A14" s="5" t="inlineStr">
        <is>
          <t>RB-010</t>
        </is>
      </c>
      <c r="B14" s="5" t="inlineStr">
        <is>
          <t>iOS</t>
        </is>
      </c>
      <c r="C14" s="5" t="inlineStr">
        <is>
          <t>iPhone simulator / iOS 26.5</t>
        </is>
      </c>
      <c r="D14" s="5" t="inlineStr">
        <is>
          <t>Fresh launch</t>
        </is>
      </c>
      <c r="E14" s="5" t="inlineStr">
        <is>
          <t>Login is first screen</t>
        </is>
      </c>
      <c r="F14" s="5" t="inlineStr">
        <is>
          <t>Passed</t>
        </is>
      </c>
      <c r="G14" s="5" t="inlineStr">
        <is>
          <t>PASS</t>
        </is>
      </c>
      <c r="H14" s="5" t="inlineStr">
        <is>
          <t>Team journey</t>
        </is>
      </c>
      <c r="I14" s="5" t="inlineStr">
        <is>
          <t>2026-08-14</t>
        </is>
      </c>
      <c r="J14" s="5" t="inlineStr">
        <is>
          <t>elderly-core JSON</t>
        </is>
      </c>
    </row>
    <row r="15" ht="54" customHeight="1">
      <c r="A15" s="4" t="inlineStr">
        <is>
          <t>RB-011</t>
        </is>
      </c>
      <c r="B15" s="4" t="inlineStr">
        <is>
          <t>iOS</t>
        </is>
      </c>
      <c r="C15" s="4" t="inlineStr">
        <is>
          <t>Physical iPhone iOS 16+</t>
        </is>
      </c>
      <c r="D15" s="4" t="inlineStr">
        <is>
          <t>Full member journey</t>
        </is>
      </c>
      <c r="E15" s="4" t="inlineStr">
        <is>
          <t>All tasks pass</t>
        </is>
      </c>
      <c r="F15" s="4" t="inlineStr">
        <is>
          <t>Not executed</t>
        </is>
      </c>
      <c r="G15" s="4" t="inlineStr">
        <is>
          <t>BLOCKED</t>
        </is>
      </c>
      <c r="H15" s="4" t="inlineStr"/>
      <c r="I15" s="4" t="inlineStr"/>
      <c r="J15" s="4" t="inlineStr">
        <is>
          <t>Need physical-device/UAT evidence</t>
        </is>
      </c>
    </row>
  </sheetData>
  <mergeCells count="2">
    <mergeCell ref="A1:J1"/>
    <mergeCell ref="A2:J2"/>
  </mergeCells>
  <conditionalFormatting sqref="G5:G1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1">
    <dataValidation sqref="G5:G100" showDropDown="0" showInputMessage="0" showErrorMessage="0" allowBlank="1" type="list">
      <formula1>"PASS,FAIL,BLOCKED,NOT RUN,N/A"</formula1>
    </dataValidation>
  </dataValidations>
  <printOptions horizontalCentered="1"/>
  <pageMargins left="0.25" right="0.25" top="0.45" bottom="0.45" header="0.15" footer="0.15"/>
  <pageSetup orientation="landscape" paperSize="9" fitToHeight="0" fitToWidth="1"/>
  <headerFooter>
    <oddHeader>&amp;C&amp;8 BKK Community Platform — WDP371 Phase 3 &amp; 4</oddHeader>
    <oddFooter>&amp;C&amp;8 BKK Community Platform | Test evidence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4" customWidth="1" min="3" max="3"/>
    <col width="24" customWidth="1" min="4" max="4"/>
    <col width="32" customWidth="1" min="5" max="5"/>
    <col width="38" customWidth="1" min="6" max="6"/>
    <col width="13" customWidth="1" min="7" max="7"/>
    <col width="24" customWidth="1" min="8" max="8"/>
    <col width="14" customWidth="1" min="9" max="9"/>
    <col width="28" customWidth="1" min="10" max="10"/>
  </cols>
  <sheetData>
    <row r="1" ht="30" customHeight="1">
      <c r="A1" s="11" t="inlineStr">
        <is>
          <t>Performance Results</t>
        </is>
      </c>
    </row>
    <row r="2" ht="32" customHeight="1">
      <c r="A2" s="2" t="inlineStr">
        <is>
          <t>NFR2 target: &lt;=3 seconds on broadband and &lt;=6 seconds on mobile. No Lighthouse score is invented; the current public PageSpeed attempt was rate-limited.</t>
        </is>
      </c>
    </row>
    <row r="3"/>
    <row r="4" ht="38" customHeight="1">
      <c r="A4" s="12" t="inlineStr">
        <is>
          <t>ID</t>
        </is>
      </c>
      <c r="B4" s="12" t="inlineStr">
        <is>
          <t>Target/page</t>
        </is>
      </c>
      <c r="C4" s="12" t="inlineStr">
        <is>
          <t>Network/device</t>
        </is>
      </c>
      <c r="D4" s="12" t="inlineStr">
        <is>
          <t>Metric</t>
        </is>
      </c>
      <c r="E4" s="12" t="inlineStr">
        <is>
          <t>Pass criterion</t>
        </is>
      </c>
      <c r="F4" s="12" t="inlineStr">
        <is>
          <t>Observed</t>
        </is>
      </c>
      <c r="G4" s="12" t="inlineStr">
        <is>
          <t>Status</t>
        </is>
      </c>
      <c r="H4" s="12" t="inlineStr">
        <is>
          <t>Tool</t>
        </is>
      </c>
      <c r="I4" s="12" t="inlineStr">
        <is>
          <t>Date</t>
        </is>
      </c>
      <c r="J4" s="12" t="inlineStr">
        <is>
          <t>Evidence</t>
        </is>
      </c>
    </row>
    <row r="5" ht="54" customHeight="1">
      <c r="A5" s="4" t="inlineStr">
        <is>
          <t>PF-001</t>
        </is>
      </c>
      <c r="B5" s="4" t="inlineStr">
        <is>
          <t>GET /health</t>
        </is>
      </c>
      <c r="C5" s="4" t="inlineStr">
        <is>
          <t>Live HTTPS</t>
        </is>
      </c>
      <c r="D5" s="4" t="inlineStr">
        <is>
          <t>Availability</t>
        </is>
      </c>
      <c r="E5" s="4" t="inlineStr">
        <is>
          <t>HTTP 200</t>
        </is>
      </c>
      <c r="F5" s="4" t="inlineStr">
        <is>
          <t>HTTP 200</t>
        </is>
      </c>
      <c r="G5" s="4" t="inlineStr">
        <is>
          <t>PASS</t>
        </is>
      </c>
      <c r="H5" s="4" t="inlineStr">
        <is>
          <t>HTTP client</t>
        </is>
      </c>
      <c r="I5" s="4" t="inlineStr">
        <is>
          <t>2026-08-20</t>
        </is>
      </c>
      <c r="J5" s="4" t="inlineStr">
        <is>
          <t>live JSON</t>
        </is>
      </c>
    </row>
    <row r="6" ht="54" customHeight="1">
      <c r="A6" s="5" t="inlineStr">
        <is>
          <t>PF-002</t>
        </is>
      </c>
      <c r="B6" s="5" t="inlineStr">
        <is>
          <t>GET /ready</t>
        </is>
      </c>
      <c r="C6" s="5" t="inlineStr">
        <is>
          <t>Live HTTPS</t>
        </is>
      </c>
      <c r="D6" s="5" t="inlineStr">
        <is>
          <t>Database readiness</t>
        </is>
      </c>
      <c r="E6" s="5" t="inlineStr">
        <is>
          <t>HTTP 200 + connected</t>
        </is>
      </c>
      <c r="F6" s="5" t="inlineStr">
        <is>
          <t>HTTP 200 + connected</t>
        </is>
      </c>
      <c r="G6" s="5" t="inlineStr">
        <is>
          <t>PASS</t>
        </is>
      </c>
      <c r="H6" s="5" t="inlineStr">
        <is>
          <t>HTTP client</t>
        </is>
      </c>
      <c r="I6" s="5" t="inlineStr">
        <is>
          <t>2026-08-20</t>
        </is>
      </c>
      <c r="J6" s="5" t="inlineStr">
        <is>
          <t>live JSON</t>
        </is>
      </c>
    </row>
    <row r="7" ht="54" customHeight="1">
      <c r="A7" s="4" t="inlineStr">
        <is>
          <t>PF-003</t>
        </is>
      </c>
      <c r="B7" s="4" t="inlineStr">
        <is>
          <t>Home 1440</t>
        </is>
      </c>
      <c r="C7" s="4" t="inlineStr">
        <is>
          <t>Broadband desktop</t>
        </is>
      </c>
      <c r="D7" s="4" t="inlineStr">
        <is>
          <t>LCP / load time</t>
        </is>
      </c>
      <c r="E7" s="4" t="inlineStr">
        <is>
          <t>&lt;=3s; Lighthouse &gt;=80</t>
        </is>
      </c>
      <c r="F7" s="4" t="inlineStr">
        <is>
          <t>PageSpeed API returned 429; no score</t>
        </is>
      </c>
      <c r="G7" s="4" t="inlineStr">
        <is>
          <t>BLOCKED</t>
        </is>
      </c>
      <c r="H7" s="4" t="inlineStr">
        <is>
          <t>Lighthouse/PageSpeed</t>
        </is>
      </c>
      <c r="I7" s="4" t="inlineStr">
        <is>
          <t>2026-08-20</t>
        </is>
      </c>
      <c r="J7" s="4" t="inlineStr">
        <is>
          <t>Repeat locally or DevTools</t>
        </is>
      </c>
    </row>
    <row r="8" ht="54" customHeight="1">
      <c r="A8" s="5" t="inlineStr">
        <is>
          <t>PF-004</t>
        </is>
      </c>
      <c r="B8" s="5" t="inlineStr">
        <is>
          <t>Home 375</t>
        </is>
      </c>
      <c r="C8" s="5" t="inlineStr">
        <is>
          <t>Simulated mobile</t>
        </is>
      </c>
      <c r="D8" s="5" t="inlineStr">
        <is>
          <t>LCP / load time</t>
        </is>
      </c>
      <c r="E8" s="5" t="inlineStr">
        <is>
          <t>&lt;=6s; Lighthouse &gt;=80</t>
        </is>
      </c>
      <c r="F8" s="5" t="inlineStr">
        <is>
          <t>Not measured</t>
        </is>
      </c>
      <c r="G8" s="5" t="inlineStr">
        <is>
          <t>NOT RUN</t>
        </is>
      </c>
      <c r="H8" s="5" t="inlineStr">
        <is>
          <t>Lighthouse</t>
        </is>
      </c>
      <c r="I8" s="5" t="inlineStr"/>
      <c r="J8" s="5" t="inlineStr"/>
    </row>
    <row r="9" ht="54" customHeight="1">
      <c r="A9" s="4" t="inlineStr">
        <is>
          <t>PF-005</t>
        </is>
      </c>
      <c r="B9" s="4" t="inlineStr">
        <is>
          <t>Events API</t>
        </is>
      </c>
      <c r="C9" s="4" t="inlineStr">
        <is>
          <t>25 concurrent users</t>
        </is>
      </c>
      <c r="D9" s="4" t="inlineStr">
        <is>
          <t>p95 latency/error rate</t>
        </is>
      </c>
      <c r="E9" s="4" t="inlineStr">
        <is>
          <t>p95 &lt;2s; &lt;1% errors</t>
        </is>
      </c>
      <c r="F9" s="4" t="inlineStr">
        <is>
          <t>Not load tested</t>
        </is>
      </c>
      <c r="G9" s="4" t="inlineStr">
        <is>
          <t>NOT RUN</t>
        </is>
      </c>
      <c r="H9" s="4" t="inlineStr">
        <is>
          <t>k6/JMeter</t>
        </is>
      </c>
      <c r="I9" s="4" t="inlineStr"/>
      <c r="J9" s="4" t="inlineStr"/>
    </row>
    <row r="10" ht="54" customHeight="1">
      <c r="A10" s="5" t="inlineStr">
        <is>
          <t>PF-006</t>
        </is>
      </c>
      <c r="B10" s="5" t="inlineStr">
        <is>
          <t>Android cold launch</t>
        </is>
      </c>
      <c r="C10" s="5" t="inlineStr">
        <is>
          <t>API 26 + current phone</t>
        </is>
      </c>
      <c r="D10" s="5" t="inlineStr">
        <is>
          <t>Time to interactive</t>
        </is>
      </c>
      <c r="E10" s="5" t="inlineStr">
        <is>
          <t>&lt;=5s on test device</t>
        </is>
      </c>
      <c r="F10" s="5" t="inlineStr">
        <is>
          <t>Not timed</t>
        </is>
      </c>
      <c r="G10" s="5" t="inlineStr">
        <is>
          <t>NOT RUN</t>
        </is>
      </c>
      <c r="H10" s="5" t="inlineStr">
        <is>
          <t>Android Profiler</t>
        </is>
      </c>
      <c r="I10" s="5" t="inlineStr"/>
      <c r="J10" s="5" t="inlineStr"/>
    </row>
    <row r="11" ht="54" customHeight="1">
      <c r="A11" s="4" t="inlineStr">
        <is>
          <t>PF-007</t>
        </is>
      </c>
      <c r="B11" s="4" t="inlineStr">
        <is>
          <t>Android screen change</t>
        </is>
      </c>
      <c r="C11" s="4" t="inlineStr">
        <is>
          <t>Current phone</t>
        </is>
      </c>
      <c r="D11" s="4" t="inlineStr">
        <is>
          <t>UI responsiveness</t>
        </is>
      </c>
      <c r="E11" s="4" t="inlineStr">
        <is>
          <t>No visible &gt;100ms main-thread stall</t>
        </is>
      </c>
      <c r="F11" s="4" t="inlineStr">
        <is>
          <t>User reported slowness; profiler evidence absent</t>
        </is>
      </c>
      <c r="G11" s="4" t="inlineStr">
        <is>
          <t>BLOCKED</t>
        </is>
      </c>
      <c r="H11" s="4" t="inlineStr">
        <is>
          <t>Android Profiler</t>
        </is>
      </c>
      <c r="I11" s="4" t="inlineStr"/>
      <c r="J11" s="4" t="inlineStr">
        <is>
          <t>DEF-009</t>
        </is>
      </c>
    </row>
  </sheetData>
  <mergeCells count="2">
    <mergeCell ref="A1:J1"/>
    <mergeCell ref="A2:J2"/>
  </mergeCells>
  <conditionalFormatting sqref="G5:G1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1">
    <dataValidation sqref="G5:G100" showDropDown="0" showInputMessage="0" showErrorMessage="0" allowBlank="1" type="list">
      <formula1>"PASS,FAIL,BLOCKED,NOT RUN,N/A"</formula1>
    </dataValidation>
  </dataValidations>
  <printOptions horizontalCentered="1"/>
  <pageMargins left="0.25" right="0.25" top="0.45" bottom="0.45" header="0.15" footer="0.15"/>
  <pageSetup orientation="landscape" paperSize="9" fitToHeight="0" fitToWidth="1"/>
  <headerFooter>
    <oddHeader>&amp;C&amp;8 BKK Community Platform — WDP371 Phase 3 &amp; 4</oddHeader>
    <oddFooter>&amp;C&amp;8 BKK Community Platform | Test evidence |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4" customWidth="1" min="3" max="3"/>
    <col width="31" customWidth="1" min="4" max="4"/>
    <col width="36" customWidth="1" min="5" max="5"/>
    <col width="37" customWidth="1" min="6" max="6"/>
    <col width="13" customWidth="1" min="7" max="7"/>
    <col width="13" customWidth="1" min="8" max="8"/>
    <col width="14" customWidth="1" min="9" max="9"/>
    <col width="30" customWidth="1" min="10" max="10"/>
  </cols>
  <sheetData>
    <row r="1" ht="30" customHeight="1">
      <c r="A1" s="11" t="inlineStr">
        <is>
          <t>Security Checklist</t>
        </is>
      </c>
    </row>
    <row r="2" ht="32" customHeight="1">
      <c r="A2" s="2" t="inlineStr">
        <is>
          <t>Security controls are assessed against implemented code, isolated integration and the deployed service. Baseline failures remain in the Defect Log; secrets must never be pasted into this workbook.</t>
        </is>
      </c>
    </row>
    <row r="3"/>
    <row r="4" ht="38" customHeight="1">
      <c r="A4" s="12" t="inlineStr">
        <is>
          <t>ID</t>
        </is>
      </c>
      <c r="B4" s="12" t="inlineStr">
        <is>
          <t>Control/test</t>
        </is>
      </c>
      <c r="C4" s="12" t="inlineStr">
        <is>
          <t>Threat</t>
        </is>
      </c>
      <c r="D4" s="12" t="inlineStr">
        <is>
          <t>Method</t>
        </is>
      </c>
      <c r="E4" s="12" t="inlineStr">
        <is>
          <t>Expected</t>
        </is>
      </c>
      <c r="F4" s="12" t="inlineStr">
        <is>
          <t>Observed</t>
        </is>
      </c>
      <c r="G4" s="12" t="inlineStr">
        <is>
          <t>Status</t>
        </is>
      </c>
      <c r="H4" s="12" t="inlineStr">
        <is>
          <t>Severity</t>
        </is>
      </c>
      <c r="I4" s="12" t="inlineStr">
        <is>
          <t>Date</t>
        </is>
      </c>
      <c r="J4" s="12" t="inlineStr">
        <is>
          <t>Evidence/defect</t>
        </is>
      </c>
    </row>
    <row r="5" ht="54" customHeight="1">
      <c r="A5" s="4" t="inlineStr">
        <is>
          <t>SC-001</t>
        </is>
      </c>
      <c r="B5" s="4" t="inlineStr">
        <is>
          <t>Passwords hashed</t>
        </is>
      </c>
      <c r="C5" s="4" t="inlineStr">
        <is>
          <t>Credential disclosure</t>
        </is>
      </c>
      <c r="D5" s="4" t="inlineStr">
        <is>
          <t>Inspect auth/reset code</t>
        </is>
      </c>
      <c r="E5" s="4" t="inlineStr">
        <is>
          <t>password_hash/password_verify; no plaintext</t>
        </is>
      </c>
      <c r="F5" s="4" t="inlineStr">
        <is>
          <t>Implemented</t>
        </is>
      </c>
      <c r="G5" s="4" t="inlineStr">
        <is>
          <t>PASS</t>
        </is>
      </c>
      <c r="H5" s="4" t="inlineStr">
        <is>
          <t>Critical</t>
        </is>
      </c>
      <c r="I5" s="4" t="inlineStr">
        <is>
          <t>2026-08-20</t>
        </is>
      </c>
      <c r="J5" s="4" t="inlineStr">
        <is>
          <t>app/auth.php; password_reset.php</t>
        </is>
      </c>
    </row>
    <row r="6" ht="54" customHeight="1">
      <c r="A6" s="5" t="inlineStr">
        <is>
          <t>SC-002</t>
        </is>
      </c>
      <c r="B6" s="5" t="inlineStr">
        <is>
          <t>Reset code unpredictability</t>
        </is>
      </c>
      <c r="C6" s="5" t="inlineStr">
        <is>
          <t>Code prediction</t>
        </is>
      </c>
      <c r="D6" s="5" t="inlineStr">
        <is>
          <t>Inspect generator</t>
        </is>
      </c>
      <c r="E6" s="5" t="inlineStr">
        <is>
          <t>CSPRNG-generated six digits</t>
        </is>
      </c>
      <c r="F6" s="5" t="inlineStr">
        <is>
          <t>random_int(0,999999)</t>
        </is>
      </c>
      <c r="G6" s="5" t="inlineStr">
        <is>
          <t>PASS</t>
        </is>
      </c>
      <c r="H6" s="5" t="inlineStr">
        <is>
          <t>High</t>
        </is>
      </c>
      <c r="I6" s="5" t="inlineStr">
        <is>
          <t>2026-08-20</t>
        </is>
      </c>
      <c r="J6" s="5" t="inlineStr">
        <is>
          <t>password_reset.php</t>
        </is>
      </c>
    </row>
    <row r="7" ht="54" customHeight="1">
      <c r="A7" s="4" t="inlineStr">
        <is>
          <t>SC-003</t>
        </is>
      </c>
      <c r="B7" s="4" t="inlineStr">
        <is>
          <t>Reset token at rest</t>
        </is>
      </c>
      <c r="C7" s="4" t="inlineStr">
        <is>
          <t>Database disclosure</t>
        </is>
      </c>
      <c r="D7" s="4" t="inlineStr">
        <is>
          <t>Inspect schema/code</t>
        </is>
      </c>
      <c r="E7" s="4" t="inlineStr">
        <is>
          <t>Only keyed hash stored</t>
        </is>
      </c>
      <c r="F7" s="4" t="inlineStr">
        <is>
          <t>HMAC-SHA256 token_hash</t>
        </is>
      </c>
      <c r="G7" s="4" t="inlineStr">
        <is>
          <t>PASS</t>
        </is>
      </c>
      <c r="H7" s="4" t="inlineStr">
        <is>
          <t>High</t>
        </is>
      </c>
      <c r="I7" s="4" t="inlineStr">
        <is>
          <t>2026-08-20</t>
        </is>
      </c>
      <c r="J7" s="4" t="inlineStr">
        <is>
          <t>schema.sql; password_reset.php</t>
        </is>
      </c>
    </row>
    <row r="8" ht="54" customHeight="1">
      <c r="A8" s="5" t="inlineStr">
        <is>
          <t>SC-004</t>
        </is>
      </c>
      <c r="B8" s="5" t="inlineStr">
        <is>
          <t>Reset expiry/attempt limit</t>
        </is>
      </c>
      <c r="C8" s="5" t="inlineStr">
        <is>
          <t>Brute force/replay</t>
        </is>
      </c>
      <c r="D8" s="5" t="inlineStr">
        <is>
          <t>Inspect code/schema</t>
        </is>
      </c>
      <c r="E8" s="5" t="inlineStr">
        <is>
          <t>15-minute expiry; &lt;=5 attempts; single use</t>
        </is>
      </c>
      <c r="F8" s="5" t="inlineStr">
        <is>
          <t>Implemented in transaction</t>
        </is>
      </c>
      <c r="G8" s="5" t="inlineStr">
        <is>
          <t>PASS</t>
        </is>
      </c>
      <c r="H8" s="5" t="inlineStr">
        <is>
          <t>High</t>
        </is>
      </c>
      <c r="I8" s="5" t="inlineStr">
        <is>
          <t>2026-08-20</t>
        </is>
      </c>
      <c r="J8" s="5" t="inlineStr">
        <is>
          <t>password_reset.php</t>
        </is>
      </c>
    </row>
    <row r="9" ht="54" customHeight="1">
      <c r="A9" s="4" t="inlineStr">
        <is>
          <t>SC-005</t>
        </is>
      </c>
      <c r="B9" s="4" t="inlineStr">
        <is>
          <t>Account enumeration</t>
        </is>
      </c>
      <c r="C9" s="4" t="inlineStr">
        <is>
          <t>Email discovery</t>
        </is>
      </c>
      <c r="D9" s="4" t="inlineStr">
        <is>
          <t>Request reset for unknown email</t>
        </is>
      </c>
      <c r="E9" s="4" t="inlineStr">
        <is>
          <t>Neutral status/message</t>
        </is>
      </c>
      <c r="F9" s="4" t="inlineStr">
        <is>
          <t>200 neutral response</t>
        </is>
      </c>
      <c r="G9" s="4" t="inlineStr">
        <is>
          <t>PASS</t>
        </is>
      </c>
      <c r="H9" s="4" t="inlineStr">
        <is>
          <t>Medium</t>
        </is>
      </c>
      <c r="I9" s="4" t="inlineStr">
        <is>
          <t>2026-08-20</t>
        </is>
      </c>
      <c r="J9" s="4" t="inlineStr">
        <is>
          <t>FT-020</t>
        </is>
      </c>
    </row>
    <row r="10" ht="54" customHeight="1">
      <c r="A10" s="5" t="inlineStr">
        <is>
          <t>SC-006</t>
        </is>
      </c>
      <c r="B10" s="5" t="inlineStr">
        <is>
          <t>Prepared SQL</t>
        </is>
      </c>
      <c r="C10" s="5" t="inlineStr">
        <is>
          <t>SQL injection</t>
        </is>
      </c>
      <c r="D10" s="5" t="inlineStr">
        <is>
          <t>Inspect repository/API</t>
        </is>
      </c>
      <c r="E10" s="5" t="inlineStr">
        <is>
          <t>User input bound to prepared statements</t>
        </is>
      </c>
      <c r="F10" s="5" t="inlineStr">
        <is>
          <t>Implemented in sampled modules</t>
        </is>
      </c>
      <c r="G10" s="5" t="inlineStr">
        <is>
          <t>PASS</t>
        </is>
      </c>
      <c r="H10" s="5" t="inlineStr">
        <is>
          <t>Critical</t>
        </is>
      </c>
      <c r="I10" s="5" t="inlineStr">
        <is>
          <t>2026-08-20</t>
        </is>
      </c>
      <c r="J10" s="5" t="inlineStr">
        <is>
          <t>repository.php; api.php</t>
        </is>
      </c>
    </row>
    <row r="11" ht="54" customHeight="1">
      <c r="A11" s="4" t="inlineStr">
        <is>
          <t>SC-007</t>
        </is>
      </c>
      <c r="B11" s="4" t="inlineStr">
        <is>
          <t>CSRF protection</t>
        </is>
      </c>
      <c r="C11" s="4" t="inlineStr">
        <is>
          <t>Cross-site request forgery</t>
        </is>
      </c>
      <c r="D11" s="4" t="inlineStr">
        <is>
          <t>Inspect forms/actions</t>
        </is>
      </c>
      <c r="E11" s="4" t="inlineStr">
        <is>
          <t>State-changing web forms verify token</t>
        </is>
      </c>
      <c r="F11" s="4" t="inlineStr">
        <is>
          <t>Token fields and checks implemented</t>
        </is>
      </c>
      <c r="G11" s="4" t="inlineStr">
        <is>
          <t>PASS</t>
        </is>
      </c>
      <c r="H11" s="4" t="inlineStr">
        <is>
          <t>High</t>
        </is>
      </c>
      <c r="I11" s="4" t="inlineStr">
        <is>
          <t>2026-08-20</t>
        </is>
      </c>
      <c r="J11" s="4" t="inlineStr">
        <is>
          <t>contact.php; actions.php</t>
        </is>
      </c>
    </row>
    <row r="12" ht="54" customHeight="1">
      <c r="A12" s="5" t="inlineStr">
        <is>
          <t>SC-008</t>
        </is>
      </c>
      <c r="B12" s="5" t="inlineStr">
        <is>
          <t>API authentication</t>
        </is>
      </c>
      <c r="C12" s="5" t="inlineStr">
        <is>
          <t>Unauthorized profile access</t>
        </is>
      </c>
      <c r="D12" s="5" t="inlineStr">
        <is>
          <t>GET /me without token</t>
        </is>
      </c>
      <c r="E12" s="5" t="inlineStr">
        <is>
          <t>401</t>
        </is>
      </c>
      <c r="F12" s="5" t="inlineStr">
        <is>
          <t>Core lifecycle verified authenticated; unauthenticated retest required</t>
        </is>
      </c>
      <c r="G12" s="5" t="inlineStr">
        <is>
          <t>NOT RUN</t>
        </is>
      </c>
      <c r="H12" s="5" t="inlineStr">
        <is>
          <t>High</t>
        </is>
      </c>
      <c r="I12" s="5" t="inlineStr"/>
      <c r="J12" s="5" t="inlineStr"/>
    </row>
    <row r="13" ht="54" customHeight="1">
      <c r="A13" s="4" t="inlineStr">
        <is>
          <t>SC-009</t>
        </is>
      </c>
      <c r="B13" s="4" t="inlineStr">
        <is>
          <t>Website authentication gate</t>
        </is>
      </c>
      <c r="C13" s="4" t="inlineStr">
        <is>
          <t>Unauthorized content access</t>
        </is>
      </c>
      <c r="D13" s="4" t="inlineStr">
        <is>
          <t>Open Home/Discounts signed out</t>
        </is>
      </c>
      <c r="E13" s="4" t="inlineStr">
        <is>
          <t>Redirect to Login</t>
        </is>
      </c>
      <c r="F13" s="4" t="inlineStr">
        <is>
          <t>Content visible without session</t>
        </is>
      </c>
      <c r="G13" s="4" t="inlineStr">
        <is>
          <t>FAIL</t>
        </is>
      </c>
      <c r="H13" s="4" t="inlineStr">
        <is>
          <t>Critical</t>
        </is>
      </c>
      <c r="I13" s="4" t="inlineStr">
        <is>
          <t>2026-08-20</t>
        </is>
      </c>
      <c r="J13" s="4" t="inlineStr">
        <is>
          <t>DEF-001</t>
        </is>
      </c>
    </row>
    <row r="14" ht="54" customHeight="1">
      <c r="A14" s="5" t="inlineStr">
        <is>
          <t>SC-010</t>
        </is>
      </c>
      <c r="B14" s="5" t="inlineStr">
        <is>
          <t>HTTPS</t>
        </is>
      </c>
      <c r="C14" s="5" t="inlineStr">
        <is>
          <t>Transport interception</t>
        </is>
      </c>
      <c r="D14" s="5" t="inlineStr">
        <is>
          <t>Inspect live URL</t>
        </is>
      </c>
      <c r="E14" s="5" t="inlineStr">
        <is>
          <t>HTTPS and valid certificate</t>
        </is>
      </c>
      <c r="F14" s="5" t="inlineStr">
        <is>
          <t>HTTPS reachable</t>
        </is>
      </c>
      <c r="G14" s="5" t="inlineStr">
        <is>
          <t>PASS</t>
        </is>
      </c>
      <c r="H14" s="5" t="inlineStr">
        <is>
          <t>Critical</t>
        </is>
      </c>
      <c r="I14" s="5" t="inlineStr">
        <is>
          <t>2026-08-20</t>
        </is>
      </c>
      <c r="J14" s="5" t="inlineStr">
        <is>
          <t>live URL</t>
        </is>
      </c>
    </row>
    <row r="15" ht="54" customHeight="1">
      <c r="A15" s="4" t="inlineStr">
        <is>
          <t>SC-011</t>
        </is>
      </c>
      <c r="B15" s="4" t="inlineStr">
        <is>
          <t>Security headers</t>
        </is>
      </c>
      <c r="C15" s="4" t="inlineStr">
        <is>
          <t>XSS/downgrade/MIME sniff</t>
        </is>
      </c>
      <c r="D15" s="4" t="inlineStr">
        <is>
          <t>Inspect response headers</t>
        </is>
      </c>
      <c r="E15" s="4" t="inlineStr">
        <is>
          <t>CSP, HSTS and nosniff</t>
        </is>
      </c>
      <c r="F15" s="4" t="inlineStr">
        <is>
          <t>Live login returned CSP, HSTS, nosniff, DENY framing and strict referrer policy</t>
        </is>
      </c>
      <c r="G15" s="4" t="inlineStr">
        <is>
          <t>PASS</t>
        </is>
      </c>
      <c r="H15" s="4" t="inlineStr">
        <is>
          <t>High</t>
        </is>
      </c>
      <c r="I15" s="4" t="inlineStr">
        <is>
          <t>2026-08-20</t>
        </is>
      </c>
      <c r="J15" s="4" t="inlineStr">
        <is>
          <t>Post-deployment live headers; DEF-003 closed</t>
        </is>
      </c>
    </row>
    <row r="16" ht="54" customHeight="1">
      <c r="A16" s="5" t="inlineStr">
        <is>
          <t>SC-012</t>
        </is>
      </c>
      <c r="B16" s="5" t="inlineStr">
        <is>
          <t>Rate limiting</t>
        </is>
      </c>
      <c r="C16" s="5" t="inlineStr">
        <is>
          <t>Credential/reset abuse</t>
        </is>
      </c>
      <c r="D16" s="5" t="inlineStr">
        <is>
          <t>Inspect migration/actions; execute threshold test</t>
        </is>
      </c>
      <c r="E16" s="5" t="inlineStr">
        <is>
          <t>429 after configured threshold</t>
        </is>
      </c>
      <c r="F16" s="5" t="inlineStr">
        <is>
          <t>Implementation exists; live threshold not stress-tested</t>
        </is>
      </c>
      <c r="G16" s="5" t="inlineStr">
        <is>
          <t>NOT RUN</t>
        </is>
      </c>
      <c r="H16" s="5" t="inlineStr">
        <is>
          <t>High</t>
        </is>
      </c>
      <c r="I16" s="5" t="inlineStr"/>
      <c r="J16" s="5" t="inlineStr">
        <is>
          <t>005_api_rate_limits.sql</t>
        </is>
      </c>
    </row>
    <row r="17" ht="54" customHeight="1">
      <c r="A17" s="4" t="inlineStr">
        <is>
          <t>SC-013</t>
        </is>
      </c>
      <c r="B17" s="4" t="inlineStr">
        <is>
          <t>Secrets excluded</t>
        </is>
      </c>
      <c r="C17" s="4" t="inlineStr">
        <is>
          <t>Credential leak</t>
        </is>
      </c>
      <c r="D17" s="4" t="inlineStr">
        <is>
          <t>Search tracked files/history</t>
        </is>
      </c>
      <c r="E17" s="4" t="inlineStr">
        <is>
          <t>No real keys/passwords committed</t>
        </is>
      </c>
      <c r="F17" s="4" t="inlineStr">
        <is>
          <t>Full repository/history secret scan not recorded</t>
        </is>
      </c>
      <c r="G17" s="4" t="inlineStr">
        <is>
          <t>NOT RUN</t>
        </is>
      </c>
      <c r="H17" s="4" t="inlineStr">
        <is>
          <t>Critical</t>
        </is>
      </c>
      <c r="I17" s="4" t="inlineStr"/>
      <c r="J17" s="4" t="inlineStr">
        <is>
          <t>Run gitleaks</t>
        </is>
      </c>
    </row>
    <row r="18" ht="54" customHeight="1">
      <c r="A18" s="5" t="inlineStr">
        <is>
          <t>SC-014</t>
        </is>
      </c>
      <c r="B18" s="5" t="inlineStr">
        <is>
          <t>Authorization of admin routes</t>
        </is>
      </c>
      <c r="C18" s="5" t="inlineStr">
        <is>
          <t>Privilege escalation</t>
        </is>
      </c>
      <c r="D18" s="5" t="inlineStr">
        <is>
          <t>Try member and signed-out requests</t>
        </is>
      </c>
      <c r="E18" s="5" t="inlineStr">
        <is>
          <t>403/redirect; no CRUD</t>
        </is>
      </c>
      <c r="F18" s="5" t="inlineStr">
        <is>
          <t>Signed-out live admin routes redirect; isolated member-role and immediate role-revocation tests passed</t>
        </is>
      </c>
      <c r="G18" s="4" t="inlineStr">
        <is>
          <t>PASS</t>
        </is>
      </c>
      <c r="H18" s="5" t="inlineStr">
        <is>
          <t>Critical</t>
        </is>
      </c>
      <c r="I18" s="5" t="inlineStr">
        <is>
          <t>2026-08-20</t>
        </is>
      </c>
      <c r="J18" s="5" t="inlineStr">
        <is>
          <t>admin-database-integration.sh; live route matrix</t>
        </is>
      </c>
    </row>
    <row r="19" ht="54" customHeight="1">
      <c r="A19" s="4" t="inlineStr">
        <is>
          <t>SC-015</t>
        </is>
      </c>
      <c r="B19" s="4" t="inlineStr">
        <is>
          <t>Account deletion</t>
        </is>
      </c>
      <c r="C19" s="4" t="inlineStr">
        <is>
          <t>Data retention</t>
        </is>
      </c>
      <c r="D19" s="4" t="inlineStr">
        <is>
          <t>Delete disposable account</t>
        </is>
      </c>
      <c r="E19" s="4" t="inlineStr">
        <is>
          <t>Account deleted; sessions/attendance removed</t>
        </is>
      </c>
      <c r="F19" s="4" t="inlineStr">
        <is>
          <t>200 deleted=true</t>
        </is>
      </c>
      <c r="G19" s="4" t="inlineStr">
        <is>
          <t>PASS</t>
        </is>
      </c>
      <c r="H19" s="4" t="inlineStr">
        <is>
          <t>High</t>
        </is>
      </c>
      <c r="I19" s="4" t="inlineStr">
        <is>
          <t>2026-08-20</t>
        </is>
      </c>
      <c r="J19" s="4" t="inlineStr">
        <is>
          <t>live JSON</t>
        </is>
      </c>
    </row>
    <row r="20" ht="62" customHeight="1">
      <c r="A20" s="4" t="inlineStr">
        <is>
          <t>SC-016</t>
        </is>
      </c>
      <c r="B20" s="4" t="inlineStr">
        <is>
          <t>Administrator session limits</t>
        </is>
      </c>
      <c r="C20" s="4" t="inlineStr">
        <is>
          <t>Stolen/stale privileged session</t>
        </is>
      </c>
      <c r="D20" s="4" t="inlineStr">
        <is>
          <t>Inspect configuration and expiry logic; run isolated role-version test</t>
        </is>
      </c>
      <c r="E20" s="4" t="inlineStr">
        <is>
          <t>30-minute idle, eight-hour absolute and auth_version invalidation</t>
        </is>
      </c>
      <c r="F20" s="4" t="inlineStr">
        <is>
          <t>Implemented; role change invalidated existing session in isolated MySQL</t>
        </is>
      </c>
      <c r="G20" s="4" t="inlineStr">
        <is>
          <t>PASS</t>
        </is>
      </c>
      <c r="H20" s="4" t="inlineStr">
        <is>
          <t>Critical</t>
        </is>
      </c>
      <c r="I20" s="4" t="inlineStr">
        <is>
          <t>2026-08-20</t>
        </is>
      </c>
      <c r="J20" s="4" t="inlineStr">
        <is>
          <t>app/auth.php; admin integration</t>
        </is>
      </c>
    </row>
    <row r="21" ht="62" customHeight="1">
      <c r="A21" s="4" t="inlineStr">
        <is>
          <t>SC-017</t>
        </is>
      </c>
      <c r="B21" s="4" t="inlineStr">
        <is>
          <t>Optimistic locking</t>
        </is>
      </c>
      <c r="C21" s="4" t="inlineStr">
        <is>
          <t>Silent concurrent overwrite</t>
        </is>
      </c>
      <c r="D21" s="4" t="inlineStr">
        <is>
          <t>Submit stale row_version after a newer update</t>
        </is>
      </c>
      <c r="E21" s="4" t="inlineStr">
        <is>
          <t>Stale update rejected</t>
        </is>
      </c>
      <c r="F21" s="4" t="inlineStr">
        <is>
          <t>Isolated MySQL stale event update was rejected</t>
        </is>
      </c>
      <c r="G21" s="4" t="inlineStr">
        <is>
          <t>PASS</t>
        </is>
      </c>
      <c r="H21" s="4" t="inlineStr">
        <is>
          <t>High</t>
        </is>
      </c>
      <c r="I21" s="4" t="inlineStr">
        <is>
          <t>2026-08-20</t>
        </is>
      </c>
      <c r="J21" s="4" t="inlineStr">
        <is>
          <t>migration 007; admin integration</t>
        </is>
      </c>
    </row>
    <row r="22" ht="62" customHeight="1">
      <c r="A22" s="4" t="inlineStr">
        <is>
          <t>SC-018</t>
        </is>
      </c>
      <c r="B22" s="4" t="inlineStr">
        <is>
          <t>Administrator audit trail</t>
        </is>
      </c>
      <c r="C22" s="4" t="inlineStr">
        <is>
          <t>Unattributed privileged change</t>
        </is>
      </c>
      <c r="D22" s="4" t="inlineStr">
        <is>
          <t>Perform protected grant/lifecycle action and inspect audit</t>
        </is>
      </c>
      <c r="E22" s="4" t="inlineStr">
        <is>
          <t>Actor, action, entity, before/after, reason and time recorded</t>
        </is>
      </c>
      <c r="F22" s="4" t="inlineStr">
        <is>
          <t>Production role grant audited; isolated lifecycle audit persisted</t>
        </is>
      </c>
      <c r="G22" s="4" t="inlineStr">
        <is>
          <t>PASS</t>
        </is>
      </c>
      <c r="H22" s="4" t="inlineStr">
        <is>
          <t>High</t>
        </is>
      </c>
      <c r="I22" s="4" t="inlineStr">
        <is>
          <t>2026-08-20</t>
        </is>
      </c>
      <c r="J22" s="4" t="inlineStr">
        <is>
          <t>admin_audit_log; admin audit</t>
        </is>
      </c>
    </row>
    <row r="23" ht="62" customHeight="1">
      <c r="A23" s="4" t="inlineStr">
        <is>
          <t>SC-019</t>
        </is>
      </c>
      <c r="B23" s="4" t="inlineStr">
        <is>
          <t>Production backup restoration</t>
        </is>
      </c>
      <c r="C23" s="4" t="inlineStr">
        <is>
          <t>Unrecoverable data loss</t>
        </is>
      </c>
      <c r="D23" s="4" t="inlineStr">
        <is>
          <t>Validate compressed backup and restore into isolated database</t>
        </is>
      </c>
      <c r="E23" s="4" t="inlineStr">
        <is>
          <t>Backup restores schema/data and current migration</t>
        </is>
      </c>
      <c r="F23" s="4" t="inlineStr">
        <is>
          <t>15 tables, migration 007 and four security columns restored; temporary database removed</t>
        </is>
      </c>
      <c r="G23" s="4" t="inlineStr">
        <is>
          <t>PASS</t>
        </is>
      </c>
      <c r="H23" s="4" t="inlineStr">
        <is>
          <t>Critical</t>
        </is>
      </c>
      <c r="I23" s="4" t="inlineStr">
        <is>
          <t>2026-08-20</t>
        </is>
      </c>
      <c r="J23" s="4" t="inlineStr">
        <is>
          <t>Protected operational record</t>
        </is>
      </c>
    </row>
    <row r="24" ht="62" customHeight="1">
      <c r="A24" s="4" t="inlineStr">
        <is>
          <t>SC-020</t>
        </is>
      </c>
      <c r="B24" s="4" t="inlineStr">
        <is>
          <t>Production demo-mode protection</t>
        </is>
      </c>
      <c r="C24" s="4" t="inlineStr">
        <is>
          <t>Known fallback administrator access</t>
        </is>
      </c>
      <c r="D24" s="4" t="inlineStr">
        <is>
          <t>Inspect production configuration and login output</t>
        </is>
      </c>
      <c r="E24" s="4" t="inlineStr">
        <is>
          <t>Demo mode disabled; no known credentials exposed</t>
        </is>
      </c>
      <c r="F24" s="4" t="inlineStr">
        <is>
          <t>ALLOW_DEMO_MODE=false; live login contains no legacy demo credentials</t>
        </is>
      </c>
      <c r="G24" s="4" t="inlineStr">
        <is>
          <t>PASS</t>
        </is>
      </c>
      <c r="H24" s="4" t="inlineStr">
        <is>
          <t>Critical</t>
        </is>
      </c>
      <c r="I24" s="4" t="inlineStr">
        <is>
          <t>2026-08-20</t>
        </is>
      </c>
      <c r="J24" s="4" t="inlineStr">
        <is>
          <t>Production variables + live HTML</t>
        </is>
      </c>
    </row>
  </sheetData>
  <autoFilter ref="A4:J24"/>
  <mergeCells count="2">
    <mergeCell ref="A1:J1"/>
    <mergeCell ref="A2:J2"/>
  </mergeCells>
  <conditionalFormatting sqref="G5:G1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1">
    <dataValidation sqref="G5:G100" showDropDown="0" showInputMessage="0" showErrorMessage="0" allowBlank="1" type="list">
      <formula1>"PASS,FAIL,BLOCKED,NOT RUN,N/A"</formula1>
    </dataValidation>
  </dataValidations>
  <printOptions horizontalCentered="1"/>
  <pageMargins left="0.25" right="0.25" top="0.45" bottom="0.45" header="0.15" footer="0.15"/>
  <pageSetup orientation="landscape" paperSize="9" fitToHeight="0" fitToWidth="1"/>
  <headerFooter>
    <oddHeader>&amp;C&amp;8 BKK Community Platform — WDP371 Phase 3 &amp; 4</oddHeader>
    <oddFooter>&amp;C&amp;8 BKK Community Platform | Test evidence |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4" customWidth="1" min="10" max="10"/>
  </cols>
  <sheetData>
    <row r="1" ht="30" customHeight="1">
      <c r="A1" s="11" t="inlineStr">
        <is>
          <t>User Acceptance Test — Six BKK Participants Aged 60+</t>
        </is>
      </c>
    </row>
    <row r="2" ht="32" customHeight="1">
      <c r="A2" s="2" t="inlineStr">
        <is>
          <t>This sheet is intentionally uncompleted. Names, signatures, ratings and observations must come from real external participants and cannot be manufactured.</t>
        </is>
      </c>
    </row>
    <row r="3"/>
    <row r="4" ht="38" customHeight="1">
      <c r="A4" s="12" t="inlineStr">
        <is>
          <t>Task ID</t>
        </is>
      </c>
      <c r="B4" s="12" t="inlineStr">
        <is>
          <t>Must task</t>
        </is>
      </c>
      <c r="C4" s="12" t="inlineStr">
        <is>
          <t>Success criterion</t>
        </is>
      </c>
      <c r="D4" s="12" t="inlineStr">
        <is>
          <t>P1</t>
        </is>
      </c>
      <c r="E4" s="12" t="inlineStr">
        <is>
          <t>P2</t>
        </is>
      </c>
      <c r="F4" s="12" t="inlineStr">
        <is>
          <t>P3</t>
        </is>
      </c>
      <c r="G4" s="12" t="inlineStr">
        <is>
          <t>P4</t>
        </is>
      </c>
      <c r="H4" s="12" t="inlineStr">
        <is>
          <t>P5</t>
        </is>
      </c>
      <c r="I4" s="12" t="inlineStr">
        <is>
          <t>P6</t>
        </is>
      </c>
      <c r="J4" s="12" t="inlineStr">
        <is>
          <t>Notes/evidence</t>
        </is>
      </c>
    </row>
    <row r="5" ht="54" customHeight="1">
      <c r="A5" s="4" t="inlineStr">
        <is>
          <t>UAT-01</t>
        </is>
      </c>
      <c r="B5" s="4" t="inlineStr">
        <is>
          <t>Sign in using an existing account</t>
        </is>
      </c>
      <c r="C5" s="4" t="inlineStr">
        <is>
          <t>Completes without help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 ht="54" customHeight="1">
      <c r="A6" s="5" t="inlineStr">
        <is>
          <t>UAT-02</t>
        </is>
      </c>
      <c r="B6" s="5" t="inlineStr">
        <is>
          <t>Return Home after opening another section</t>
        </is>
      </c>
      <c r="C6" s="5" t="inlineStr">
        <is>
          <t>Uses navigation without prompting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 ht="54" customHeight="1">
      <c r="A7" s="4" t="inlineStr">
        <is>
          <t>UAT-03</t>
        </is>
      </c>
      <c r="B7" s="4" t="inlineStr">
        <is>
          <t>Find an event and explain time/location</t>
        </is>
      </c>
      <c r="C7" s="4" t="inlineStr">
        <is>
          <t>Identifies correct details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 ht="54" customHeight="1">
      <c r="A8" s="5" t="inlineStr">
        <is>
          <t>UAT-04</t>
        </is>
      </c>
      <c r="B8" s="5" t="inlineStr">
        <is>
          <t>Confirm and cancel attendance</t>
        </is>
      </c>
      <c r="C8" s="5" t="inlineStr">
        <is>
          <t>Both server-confirmed states understood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 ht="54" customHeight="1">
      <c r="A9" s="4" t="inlineStr">
        <is>
          <t>UAT-05</t>
        </is>
      </c>
      <c r="B9" s="4" t="inlineStr">
        <is>
          <t>Recognise demonstration event as not real</t>
        </is>
      </c>
      <c r="C9" s="4" t="inlineStr">
        <is>
          <t>Does not attempt travel/RSVP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 ht="54" customHeight="1">
      <c r="A10" s="5" t="inlineStr">
        <is>
          <t>UAT-06</t>
        </is>
      </c>
      <c r="B10" s="5" t="inlineStr">
        <is>
          <t>Find a discount and explain claim process</t>
        </is>
      </c>
      <c r="C10" s="5" t="inlineStr">
        <is>
          <t>Explains eligibility and instructions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 ht="54" customHeight="1">
      <c r="A11" s="4" t="inlineStr">
        <is>
          <t>UAT-07</t>
        </is>
      </c>
      <c r="B11" s="4" t="inlineStr">
        <is>
          <t>Find local service phone number</t>
        </is>
      </c>
      <c r="C11" s="4" t="inlineStr">
        <is>
          <t>Reads correct number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 ht="54" customHeight="1">
      <c r="A12" s="5" t="inlineStr">
        <is>
          <t>UAT-08</t>
        </is>
      </c>
      <c r="B12" s="5" t="inlineStr">
        <is>
          <t>Contact BKK for help</t>
        </is>
      </c>
      <c r="C12" s="5" t="inlineStr">
        <is>
          <t>Submits valid message or uses listed contact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 ht="54" customHeight="1">
      <c r="A13" s="4" t="inlineStr">
        <is>
          <t>UAT-09</t>
        </is>
      </c>
      <c r="B13" s="4" t="inlineStr">
        <is>
          <t>Request reset code and create password</t>
        </is>
      </c>
      <c r="C13" s="4" t="inlineStr">
        <is>
          <t>Completes using real inbox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 ht="54" customHeight="1">
      <c r="A14" s="5" t="inlineStr">
        <is>
          <t>UAT-10</t>
        </is>
      </c>
      <c r="B14" s="5" t="inlineStr">
        <is>
          <t>Sign out</t>
        </is>
      </c>
      <c r="C14" s="5" t="inlineStr">
        <is>
          <t>Returns to Login and protected content is inaccessible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/>
    <row r="16"/>
    <row r="17" ht="38" customHeight="1">
      <c r="A17" s="12" t="inlineStr">
        <is>
          <t>Participant</t>
        </is>
      </c>
      <c r="B17" s="12" t="inlineStr">
        <is>
          <t>Name</t>
        </is>
      </c>
      <c r="C17" s="12" t="inlineStr">
        <is>
          <t>Age/role</t>
        </is>
      </c>
      <c r="D17" s="12" t="inlineStr">
        <is>
          <t>Device/browser</t>
        </is>
      </c>
      <c r="E17" s="12" t="inlineStr">
        <is>
          <t>Independent tasks /10</t>
        </is>
      </c>
      <c r="F17" s="12" t="inlineStr">
        <is>
          <t>Ease rating /5</t>
        </is>
      </c>
      <c r="G17" s="12" t="inlineStr">
        <is>
          <t>Critical defect?</t>
        </is>
      </c>
      <c r="H17" s="12" t="inlineStr">
        <is>
          <t>Signature/date</t>
        </is>
      </c>
      <c r="I17" s="12" t="inlineStr">
        <is>
          <t>Evidence ref</t>
        </is>
      </c>
      <c r="J17" s="12" t="inlineStr">
        <is>
          <t>Main observation</t>
        </is>
      </c>
    </row>
    <row r="18" ht="54" customHeight="1">
      <c r="A18" s="5" t="inlineStr">
        <is>
          <t>P1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 ht="54" customHeight="1">
      <c r="A19" s="4" t="inlineStr">
        <is>
          <t>P2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 ht="54" customHeight="1">
      <c r="A20" s="5" t="inlineStr">
        <is>
          <t>P3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 ht="54" customHeight="1">
      <c r="A21" s="4" t="inlineStr">
        <is>
          <t>P4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 ht="54" customHeight="1">
      <c r="A22" s="5" t="inlineStr">
        <is>
          <t>P5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</row>
    <row r="23" ht="54" customHeight="1">
      <c r="A23" s="4" t="inlineStr">
        <is>
          <t>P6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/>
    <row r="25"/>
    <row r="26">
      <c r="A26" s="16" t="inlineStr">
        <is>
          <t>Acceptance criteria</t>
        </is>
      </c>
    </row>
    <row r="27">
      <c r="A27" s="14" t="inlineStr">
        <is>
          <t>All Must tasks</t>
        </is>
      </c>
      <c r="B27" s="4" t="inlineStr">
        <is>
          <t>Pass without a critical defect</t>
        </is>
      </c>
    </row>
    <row r="28">
      <c r="A28" s="14" t="inlineStr">
        <is>
          <t>Independent completion</t>
        </is>
      </c>
      <c r="B28" s="4" t="inlineStr">
        <is>
          <t>&gt;=80% across all recorded tasks</t>
        </is>
      </c>
    </row>
    <row r="29">
      <c r="A29" s="14" t="inlineStr">
        <is>
          <t>Ease rating</t>
        </is>
      </c>
      <c r="B29" s="4" t="inlineStr">
        <is>
          <t>Average &gt;=4/5</t>
        </is>
      </c>
    </row>
    <row r="30">
      <c r="A30" s="14" t="inlineStr">
        <is>
          <t>Accessibility</t>
        </is>
      </c>
      <c r="B30" s="4" t="inlineStr">
        <is>
          <t>Core tasks repeated at 200% and with TalkBack/VoiceOver</t>
        </is>
      </c>
    </row>
    <row r="31">
      <c r="A31" s="14" t="inlineStr">
        <is>
          <t>Evidence</t>
        </is>
      </c>
      <c r="B31" s="4" t="inlineStr">
        <is>
          <t>Signed sheets/photo/email permission and anonymised notes attached</t>
        </is>
      </c>
    </row>
  </sheetData>
  <mergeCells count="2">
    <mergeCell ref="A1:J1"/>
    <mergeCell ref="A2:J2"/>
  </mergeCells>
  <printOptions horizontalCentered="1"/>
  <pageMargins left="0.25" right="0.25" top="0.45" bottom="0.45" header="0.15" footer="0.15"/>
  <pageSetup orientation="landscape" paperSize="9" fitToHeight="0" fitToWidth="1"/>
  <headerFooter>
    <oddHeader>&amp;C&amp;8 BKK Community Platform — WDP371 Phase 3 &amp; 4</oddHeader>
    <oddFooter>&amp;C&amp;8 BKK Community Platform | Test evidence |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3" customWidth="1" min="4" max="4"/>
    <col width="14" customWidth="1" min="5" max="5"/>
    <col width="42" customWidth="1" min="6" max="6"/>
    <col width="35" customWidth="1" min="7" max="7"/>
    <col width="39" customWidth="1" min="8" max="8"/>
    <col width="45" customWidth="1" min="9" max="9"/>
    <col width="23" customWidth="1" min="10" max="10"/>
    <col width="18" customWidth="1" min="11" max="11"/>
    <col width="34" customWidth="1" min="12" max="12"/>
  </cols>
  <sheetData>
    <row r="1" ht="30" customHeight="1">
      <c r="A1" s="11" t="inlineStr">
        <is>
          <t>Defect Log</t>
        </is>
      </c>
    </row>
    <row r="2" ht="32" customHeight="1">
      <c r="A2" s="2" t="inlineStr">
        <is>
          <t>Open defects remain visible until a dated retest proves closure. A code change alone is not accepted as a passed retest.</t>
        </is>
      </c>
    </row>
    <row r="3"/>
    <row r="4" ht="38" customHeight="1">
      <c r="A4" s="12" t="inlineStr">
        <is>
          <t>Defect ID</t>
        </is>
      </c>
      <c r="B4" s="12" t="inlineStr">
        <is>
          <t>Title</t>
        </is>
      </c>
      <c r="C4" s="12" t="inlineStr">
        <is>
          <t>Area</t>
        </is>
      </c>
      <c r="D4" s="12" t="inlineStr">
        <is>
          <t>Severity</t>
        </is>
      </c>
      <c r="E4" s="12" t="inlineStr">
        <is>
          <t>Found date</t>
        </is>
      </c>
      <c r="F4" s="12" t="inlineStr">
        <is>
          <t>Steps to reproduce</t>
        </is>
      </c>
      <c r="G4" s="12" t="inlineStr">
        <is>
          <t>Expected</t>
        </is>
      </c>
      <c r="H4" s="12" t="inlineStr">
        <is>
          <t>Actual</t>
        </is>
      </c>
      <c r="I4" s="12" t="inlineStr">
        <is>
          <t>Root cause/status</t>
        </is>
      </c>
      <c r="J4" s="12" t="inlineStr">
        <is>
          <t>Owner</t>
        </is>
      </c>
      <c r="K4" s="12" t="inlineStr">
        <is>
          <t>Retest</t>
        </is>
      </c>
      <c r="L4" s="12" t="inlineStr">
        <is>
          <t>Evidence</t>
        </is>
      </c>
    </row>
    <row r="5" ht="54" customHeight="1">
      <c r="A5" s="4" t="inlineStr">
        <is>
          <t>DEF-001</t>
        </is>
      </c>
      <c r="B5" s="4" t="inlineStr">
        <is>
          <t>Website bypasses required login landing page</t>
        </is>
      </c>
      <c r="C5" s="4" t="inlineStr">
        <is>
          <t>Web/Auth</t>
        </is>
      </c>
      <c r="D5" s="4" t="inlineStr">
        <is>
          <t>Critical</t>
        </is>
      </c>
      <c r="E5" s="4" t="inlineStr">
        <is>
          <t>2026-08-14</t>
        </is>
      </c>
      <c r="F5" s="4" t="inlineStr">
        <is>
          <t>Clear session; open / or /discounts.php</t>
        </is>
      </c>
      <c r="G5" s="4" t="inlineStr">
        <is>
          <t>Redirect to Login</t>
        </is>
      </c>
      <c r="H5" s="4" t="inlineStr">
        <is>
          <t>Protected member content displays with HTTP 200</t>
        </is>
      </c>
      <c r="I5" s="4" t="inlineStr">
        <is>
          <t>OPEN — public page routing does not enforce intended gate</t>
        </is>
      </c>
      <c r="J5" s="4" t="inlineStr">
        <is>
          <t>Kagiso Mmatloa</t>
        </is>
      </c>
      <c r="K5" s="4" t="inlineStr">
        <is>
          <t>FAIL 2026-08-20</t>
        </is>
      </c>
      <c r="L5" s="4" t="inlineStr">
        <is>
          <t>live JSON</t>
        </is>
      </c>
    </row>
    <row r="6" ht="54" customHeight="1">
      <c r="A6" s="5" t="inlineStr">
        <is>
          <t>DEF-002</t>
        </is>
      </c>
      <c r="B6" s="5" t="inlineStr">
        <is>
          <t>Real password-reset email not evidenced</t>
        </is>
      </c>
      <c r="C6" s="5" t="inlineStr">
        <is>
          <t>Email/Auth</t>
        </is>
      </c>
      <c r="D6" s="5" t="inlineStr">
        <is>
          <t>Critical</t>
        </is>
      </c>
      <c r="E6" s="5" t="inlineStr">
        <is>
          <t>2026-08-14</t>
        </is>
      </c>
      <c r="F6" s="5" t="inlineStr">
        <is>
          <t>Request code for real registered inbox</t>
        </is>
      </c>
      <c r="G6" s="5" t="inlineStr">
        <is>
          <t>Code arrives and can reset password</t>
        </is>
      </c>
      <c r="H6" s="5" t="inlineStr">
        <is>
          <t>Known-account request accepted and active hashed token created; mailbox receipt and successful code consumption not yet witnessed</t>
        </is>
      </c>
      <c r="I6" s="5" t="inlineStr">
        <is>
          <t>OPEN EVIDENCE GAP — server-side request path now succeeds; end-to-end inbox/reset proof still required</t>
        </is>
      </c>
      <c r="J6" s="5" t="inlineStr">
        <is>
          <t>Kagiso Mmatloa</t>
        </is>
      </c>
      <c r="K6" s="5" t="inlineStr">
        <is>
          <t>PARTIAL 2026-08-20</t>
        </is>
      </c>
      <c r="L6" s="5" t="inlineStr">
        <is>
          <t>Live request + DB token state; redacted inbox/reset screenshot required</t>
        </is>
      </c>
    </row>
    <row r="7" ht="54" customHeight="1">
      <c r="A7" s="4" t="inlineStr">
        <is>
          <t>DEF-003</t>
        </is>
      </c>
      <c r="B7" s="4" t="inlineStr">
        <is>
          <t>Security response headers absent</t>
        </is>
      </c>
      <c r="C7" s="4" t="inlineStr">
        <is>
          <t>Web/API</t>
        </is>
      </c>
      <c r="D7" s="4" t="inlineStr">
        <is>
          <t>High</t>
        </is>
      </c>
      <c r="E7" s="4" t="inlineStr">
        <is>
          <t>2026-08-20</t>
        </is>
      </c>
      <c r="F7" s="4" t="inlineStr">
        <is>
          <t>Inspect live /health, /ready and API response headers</t>
        </is>
      </c>
      <c r="G7" s="4" t="inlineStr">
        <is>
          <t>HSTS, CSP and nosniff present</t>
        </is>
      </c>
      <c r="H7" s="4" t="inlineStr">
        <is>
          <t>CSP, HSTS, nosniff, DENY framing and strict referrer policy returned after deployment</t>
        </is>
      </c>
      <c r="I7" s="4" t="inlineStr">
        <is>
          <t>CLOSED — security headers configured and live retest passed</t>
        </is>
      </c>
      <c r="J7" s="4" t="inlineStr">
        <is>
          <t>Kagiso Mmatloa</t>
        </is>
      </c>
      <c r="K7" s="4" t="inlineStr">
        <is>
          <t>PASS 2026-08-20</t>
        </is>
      </c>
      <c r="L7" s="4" t="inlineStr">
        <is>
          <t>FT-040 / SC-011 post-deployment live headers</t>
        </is>
      </c>
    </row>
    <row r="8" ht="54" customHeight="1">
      <c r="A8" s="5" t="inlineStr">
        <is>
          <t>DEF-004</t>
        </is>
      </c>
      <c r="B8" s="5" t="inlineStr">
        <is>
          <t>No fresh live admin CRUD evidence</t>
        </is>
      </c>
      <c r="C8" s="5" t="inlineStr">
        <is>
          <t>Admin</t>
        </is>
      </c>
      <c r="D8" s="5" t="inlineStr">
        <is>
          <t>High</t>
        </is>
      </c>
      <c r="E8" s="5" t="inlineStr">
        <is>
          <t>2026-08-20</t>
        </is>
      </c>
      <c r="F8" s="5" t="inlineStr">
        <is>
          <t>Log in as admin and CRUD each content type</t>
        </is>
      </c>
      <c r="G8" s="5" t="inlineStr">
        <is>
          <t>Changes persist and display to users</t>
        </is>
      </c>
      <c r="H8" s="5" t="inlineStr">
        <is>
          <t>Migration 007, protected admin grant, route guards and isolated lifecycle/audit tests passed; authenticated production screenshots absent</t>
        </is>
      </c>
      <c r="I8" s="5" t="inlineStr">
        <is>
          <t>OPEN EVIDENCE GAP — implementation is deployed; only the authenticated live UI evidence set remains</t>
        </is>
      </c>
      <c r="J8" s="5" t="inlineStr">
        <is>
          <t>Masase Mukhinindi</t>
        </is>
      </c>
      <c r="K8" s="5" t="inlineStr">
        <is>
          <t>PARTIAL PASS 2026-08-20</t>
        </is>
      </c>
      <c r="L8" s="5" t="inlineStr">
        <is>
          <t>docs/ADMIN_AUDIT_2026-08-20.md; attach live before/after screenshots</t>
        </is>
      </c>
    </row>
    <row r="9" ht="54" customHeight="1">
      <c r="A9" s="4" t="inlineStr">
        <is>
          <t>DEF-005</t>
        </is>
      </c>
      <c r="B9" s="4" t="inlineStr">
        <is>
          <t>Real FCM delivery not tested</t>
        </is>
      </c>
      <c r="C9" s="4" t="inlineStr">
        <is>
          <t>Android/Notifications</t>
        </is>
      </c>
      <c r="D9" s="4" t="inlineStr">
        <is>
          <t>High</t>
        </is>
      </c>
      <c r="E9" s="4" t="inlineStr">
        <is>
          <t>2026-08-14</t>
        </is>
      </c>
      <c r="F9" s="4" t="inlineStr">
        <is>
          <t>Register physical device; publish discount/schedule reminder</t>
        </is>
      </c>
      <c r="G9" s="4" t="inlineStr">
        <is>
          <t>One correct notification and deep link</t>
        </is>
      </c>
      <c r="H9" s="4" t="inlineStr">
        <is>
          <t>Firebase credentials/evidence absent</t>
        </is>
      </c>
      <c r="I9" s="4" t="inlineStr">
        <is>
          <t>BLOCKED BY EXTERNAL CREDENTIALS</t>
        </is>
      </c>
      <c r="J9" s="4" t="inlineStr">
        <is>
          <t>Ipeleng Sithole</t>
        </is>
      </c>
      <c r="K9" s="4" t="inlineStr">
        <is>
          <t>BLOCKED</t>
        </is>
      </c>
      <c r="L9" s="4" t="inlineStr">
        <is>
          <t>google-services.json + device evidence</t>
        </is>
      </c>
    </row>
    <row r="10" ht="54" customHeight="1">
      <c r="A10" s="5" t="inlineStr">
        <is>
          <t>DEF-006</t>
        </is>
      </c>
      <c r="B10" s="5" t="inlineStr">
        <is>
          <t>Live RSVP journey lacks safe real test event</t>
        </is>
      </c>
      <c r="C10" s="5" t="inlineStr">
        <is>
          <t>Attendance</t>
        </is>
      </c>
      <c r="D10" s="5" t="inlineStr">
        <is>
          <t>High</t>
        </is>
      </c>
      <c r="E10" s="5" t="inlineStr">
        <is>
          <t>2026-08-20</t>
        </is>
      </c>
      <c r="F10" s="5" t="inlineStr">
        <is>
          <t>Confirm/cancel on published test event</t>
        </is>
      </c>
      <c r="G10" s="5" t="inlineStr">
        <is>
          <t>Server-confirmed changes without false success</t>
        </is>
      </c>
      <c r="H10" s="5" t="inlineStr">
        <is>
          <t>Only demonstration event returned and intentionally rejects attendance</t>
        </is>
      </c>
      <c r="I10" s="5" t="inlineStr">
        <is>
          <t>BLOCKED BY TEST DATA</t>
        </is>
      </c>
      <c r="J10" s="5" t="inlineStr">
        <is>
          <t>Blessing Rugoyi</t>
        </is>
      </c>
      <c r="K10" s="5" t="inlineStr">
        <is>
          <t>BLOCKED</t>
        </is>
      </c>
      <c r="L10" s="5" t="inlineStr">
        <is>
          <t>Create labelled test event with approval</t>
        </is>
      </c>
    </row>
    <row r="11" ht="54" customHeight="1">
      <c r="A11" s="4" t="inlineStr">
        <is>
          <t>DEF-007</t>
        </is>
      </c>
      <c r="B11" s="4" t="inlineStr">
        <is>
          <t>Manual accessibility/physical-device evidence absent</t>
        </is>
      </c>
      <c r="C11" s="4" t="inlineStr">
        <is>
          <t>Accessibility</t>
        </is>
      </c>
      <c r="D11" s="4" t="inlineStr">
        <is>
          <t>High</t>
        </is>
      </c>
      <c r="E11" s="4" t="inlineStr">
        <is>
          <t>2026-08-14</t>
        </is>
      </c>
      <c r="F11" s="4" t="inlineStr">
        <is>
          <t>Run 200% scale and screen-reader tasks</t>
        </is>
      </c>
      <c r="G11" s="4" t="inlineStr">
        <is>
          <t>All core tasks independently complete</t>
        </is>
      </c>
      <c r="H11" s="4" t="inlineStr">
        <is>
          <t>Not run</t>
        </is>
      </c>
      <c r="I11" s="4" t="inlineStr">
        <is>
          <t>OPEN TEST GAP</t>
        </is>
      </c>
      <c r="J11" s="4" t="inlineStr">
        <is>
          <t>Ipeleng Sithole</t>
        </is>
      </c>
      <c r="K11" s="4" t="inlineStr">
        <is>
          <t>NOT RUN</t>
        </is>
      </c>
      <c r="L11" s="4" t="inlineStr">
        <is>
          <t>Signed accessibility checklist</t>
        </is>
      </c>
    </row>
    <row r="12" ht="54" customHeight="1">
      <c r="A12" s="5" t="inlineStr">
        <is>
          <t>DEF-008</t>
        </is>
      </c>
      <c r="B12" s="5" t="inlineStr">
        <is>
          <t>Six-person elderly UAT not completed</t>
        </is>
      </c>
      <c r="C12" s="5" t="inlineStr">
        <is>
          <t>UAT</t>
        </is>
      </c>
      <c r="D12" s="5" t="inlineStr">
        <is>
          <t>Critical</t>
        </is>
      </c>
      <c r="E12" s="5" t="inlineStr">
        <is>
          <t>2026-08-14</t>
        </is>
      </c>
      <c r="F12" s="5" t="inlineStr">
        <is>
          <t>Facilitate ten tasks with six external users</t>
        </is>
      </c>
      <c r="G12" s="5" t="inlineStr">
        <is>
          <t>Meets all acceptance thresholds</t>
        </is>
      </c>
      <c r="H12" s="5" t="inlineStr">
        <is>
          <t>No participant data/sign-off</t>
        </is>
      </c>
      <c r="I12" s="5" t="inlineStr">
        <is>
          <t>OPEN — cannot be manufactured</t>
        </is>
      </c>
      <c r="J12" s="5" t="inlineStr">
        <is>
          <t>Blessing Rugoyi</t>
        </is>
      </c>
      <c r="K12" s="5" t="inlineStr">
        <is>
          <t>NOT RUN</t>
        </is>
      </c>
      <c r="L12" s="5" t="inlineStr">
        <is>
          <t>UAT Task Sheet</t>
        </is>
      </c>
    </row>
    <row r="13" ht="54" customHeight="1">
      <c r="A13" s="4" t="inlineStr">
        <is>
          <t>DEF-009</t>
        </is>
      </c>
      <c r="B13" s="4" t="inlineStr">
        <is>
          <t>Reported mobile slowness lacks profiler measurement</t>
        </is>
      </c>
      <c r="C13" s="4" t="inlineStr">
        <is>
          <t>Performance</t>
        </is>
      </c>
      <c r="D13" s="4" t="inlineStr">
        <is>
          <t>Medium</t>
        </is>
      </c>
      <c r="E13" s="4" t="inlineStr">
        <is>
          <t>2026-08-14</t>
        </is>
      </c>
      <c r="F13" s="4" t="inlineStr">
        <is>
          <t>Profile cold launch, list rendering and API calls</t>
        </is>
      </c>
      <c r="G13" s="4" t="inlineStr">
        <is>
          <t>Within defined budgets</t>
        </is>
      </c>
      <c r="H13" s="4" t="inlineStr">
        <is>
          <t>User perceived app as slow; cause not isolated</t>
        </is>
      </c>
      <c r="I13" s="4" t="inlineStr">
        <is>
          <t>OPEN TEST GAP</t>
        </is>
      </c>
      <c r="J13" s="4" t="inlineStr">
        <is>
          <t>Ipeleng Sithole</t>
        </is>
      </c>
      <c r="K13" s="4" t="inlineStr">
        <is>
          <t>NOT RUN</t>
        </is>
      </c>
      <c r="L13" s="4" t="inlineStr">
        <is>
          <t>Android Profiler trace</t>
        </is>
      </c>
    </row>
    <row r="14" ht="54" customHeight="1">
      <c r="A14" s="5" t="inlineStr">
        <is>
          <t>DEF-010</t>
        </is>
      </c>
      <c r="B14" s="5" t="inlineStr">
        <is>
          <t>iOS full login/navigation journey interrupted</t>
        </is>
      </c>
      <c r="C14" s="5" t="inlineStr">
        <is>
          <t>iOS</t>
        </is>
      </c>
      <c r="D14" s="5" t="inlineStr">
        <is>
          <t>High</t>
        </is>
      </c>
      <c r="E14" s="5" t="inlineStr">
        <is>
          <t>2026-08-14</t>
        </is>
      </c>
      <c r="F14" s="5" t="inlineStr">
        <is>
          <t>Clean install; sign in; navigate five tabs; sign out</t>
        </is>
      </c>
      <c r="G14" s="5" t="inlineStr">
        <is>
          <t>Journey completes and returns to Login</t>
        </is>
      </c>
      <c r="H14" s="5" t="inlineStr">
        <is>
          <t>Automation interrupted before assertion</t>
        </is>
      </c>
      <c r="I14" s="5" t="inlineStr">
        <is>
          <t>OPEN RETEST</t>
        </is>
      </c>
      <c r="J14" s="5" t="inlineStr">
        <is>
          <t>Ipeleng Sithole</t>
        </is>
      </c>
      <c r="K14" s="5" t="inlineStr">
        <is>
          <t>NOT RUN</t>
        </is>
      </c>
      <c r="L14" s="5" t="inlineStr">
        <is>
          <t>XCTest/manual video</t>
        </is>
      </c>
    </row>
    <row r="15" ht="86" customHeight="1">
      <c r="A15" s="5" t="inlineStr">
        <is>
          <t>DEF-011</t>
        </is>
      </c>
      <c r="B15" s="5" t="inlineStr">
        <is>
          <t>Resolved-contact retention job is not scheduled</t>
        </is>
      </c>
      <c r="C15" s="5" t="inlineStr">
        <is>
          <t>Operations/Privacy</t>
        </is>
      </c>
      <c r="D15" s="5" t="inlineStr">
        <is>
          <t>Medium</t>
        </is>
      </c>
      <c r="E15" s="5" t="inlineStr">
        <is>
          <t>2026-08-20</t>
        </is>
      </c>
      <c r="F15" s="5" t="inlineStr">
        <is>
          <t>Inspect Railway services and retention configuration</t>
        </is>
      </c>
      <c r="G15" s="5" t="inlineStr">
        <is>
          <t>Protected scheduled job runs purge-resolved-contact-messages.php using the approved retention period</t>
        </is>
      </c>
      <c r="H15" s="5" t="inlineStr">
        <is>
          <t>365-day setting and purge script exist; no separate Railway scheduled service has been authorized</t>
        </is>
      </c>
      <c r="I15" s="5" t="inlineStr">
        <is>
          <t>OPEN OPERATIONAL GAP — creating another Railway service may affect billing and requires approval</t>
        </is>
      </c>
      <c r="J15" s="5" t="inlineStr">
        <is>
          <t>Kagiso Mmatloa</t>
        </is>
      </c>
      <c r="K15" s="5" t="inlineStr">
        <is>
          <t>NOT RUN</t>
        </is>
      </c>
      <c r="L15" s="5" t="inlineStr">
        <is>
          <t>ADMIN_DEPLOYMENT_CHECKLIST.md</t>
        </is>
      </c>
    </row>
  </sheetData>
  <autoFilter ref="A4:L15"/>
  <mergeCells count="2">
    <mergeCell ref="A2:L2"/>
    <mergeCell ref="A1:L1"/>
  </mergeCells>
  <printOptions horizontalCentered="1"/>
  <pageMargins left="0.25" right="0.25" top="0.45" bottom="0.45" header="0.15" footer="0.15"/>
  <pageSetup orientation="landscape" paperSize="9" fitToHeight="0" fitToWidth="1"/>
  <headerFooter>
    <oddHeader>&amp;C&amp;8 BKK Community Platform — WDP371 Phase 3 &amp; 4</oddHeader>
    <oddFooter>&amp;C&amp;8 BKK Community Platform | Test evidence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2026-08-20T19:05:10Z</dcterms:created>
  <dcterms:modified xmlns:dcterms="http://purl.org/dc/terms/" xmlns:xsi="http://www.w3.org/2001/XMLSchema-instance" xsi:type="dcterms:W3CDTF">2026-08-20T20:34:38Z</dcterms:modified>
</cp:coreProperties>
</file>